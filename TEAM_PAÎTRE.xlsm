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530"/>
  </bookViews>
  <sheets>
    <sheet name="LISTE DE L'EGLISE" sheetId="2" r:id="rId1"/>
    <sheet name="LISTE DE PRESENCE JUILLET" sheetId="3" r:id="rId2"/>
    <sheet name="LISTE DE PRESENCE AOUT" sheetId="4" r:id="rId3"/>
    <sheet name="LISTE DE PRESENCE SEPTEMBRE" sheetId="5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5" l="1"/>
  <c r="Q17" i="5"/>
  <c r="Q16" i="5"/>
  <c r="Y9" i="5"/>
  <c r="V9" i="5"/>
  <c r="S9" i="5"/>
  <c r="P9" i="5"/>
  <c r="Y8" i="5"/>
  <c r="V8" i="5"/>
  <c r="S8" i="5"/>
  <c r="P8" i="5"/>
  <c r="P10" i="5" l="1"/>
  <c r="Q15" i="5" s="1"/>
  <c r="V10" i="5"/>
  <c r="S10" i="5"/>
  <c r="Y10" i="5"/>
  <c r="AD9" i="4"/>
  <c r="AD8" i="4"/>
  <c r="AA9" i="4"/>
  <c r="AA8" i="4"/>
  <c r="X9" i="4"/>
  <c r="X8" i="4"/>
  <c r="U9" i="4"/>
  <c r="U8" i="4"/>
  <c r="R9" i="4"/>
  <c r="R8" i="4"/>
  <c r="AD10" i="4" l="1"/>
  <c r="S19" i="4" s="1"/>
  <c r="AA10" i="4"/>
  <c r="S18" i="4" s="1"/>
  <c r="U10" i="4"/>
  <c r="S16" i="4" s="1"/>
  <c r="R10" i="4"/>
  <c r="S15" i="4" s="1"/>
  <c r="X10" i="4"/>
  <c r="S17" i="4" s="1"/>
  <c r="W7" i="3"/>
  <c r="W8" i="3" s="1"/>
  <c r="Q15" i="3" s="1"/>
  <c r="W6" i="3"/>
  <c r="T6" i="3"/>
  <c r="T7" i="3"/>
  <c r="T8" i="3" s="1"/>
  <c r="Q14" i="3" s="1"/>
  <c r="Q7" i="3"/>
  <c r="Q8" i="3" s="1"/>
  <c r="Q13" i="3" s="1"/>
  <c r="Q6" i="3"/>
</calcChain>
</file>

<file path=xl/sharedStrings.xml><?xml version="1.0" encoding="utf-8"?>
<sst xmlns="http://schemas.openxmlformats.org/spreadsheetml/2006/main" count="1302" uniqueCount="209">
  <si>
    <t>Nº TELEPHONE</t>
  </si>
  <si>
    <t>BAPTEME</t>
  </si>
  <si>
    <t xml:space="preserve">PERSONNE A CONTACTER EN CAS D'URGENCE </t>
  </si>
  <si>
    <t>AFFILIATION</t>
  </si>
  <si>
    <t>SITUATION MATRIMONIALE</t>
  </si>
  <si>
    <t>NOM</t>
  </si>
  <si>
    <t>PRENOMS</t>
  </si>
  <si>
    <t>DIMANCHE 1</t>
  </si>
  <si>
    <t>MOTIF ABSENCE</t>
  </si>
  <si>
    <t>DIMANCHE 2</t>
  </si>
  <si>
    <t>MOTIF ABSENCE2</t>
  </si>
  <si>
    <t>MOTIF ABSENCE3</t>
  </si>
  <si>
    <t>DIMANCHE 3</t>
  </si>
  <si>
    <t>MOTIF ABSENCE4</t>
  </si>
  <si>
    <t>DIMANCHE 4</t>
  </si>
  <si>
    <t>MOIS DE JUILLET 2025</t>
  </si>
  <si>
    <t>Nº</t>
  </si>
  <si>
    <t xml:space="preserve">TIEHE </t>
  </si>
  <si>
    <t xml:space="preserve">FREDERIQUE </t>
  </si>
  <si>
    <t>angré djorobité</t>
  </si>
  <si>
    <t>celibataire</t>
  </si>
  <si>
    <t>mère</t>
  </si>
  <si>
    <t>oui</t>
  </si>
  <si>
    <t>ZOH PANGNI</t>
  </si>
  <si>
    <t>ERMANCE</t>
  </si>
  <si>
    <t>riviera triangle</t>
  </si>
  <si>
    <t>KONAN YEO</t>
  </si>
  <si>
    <t>PARFAIT</t>
  </si>
  <si>
    <t>riviera 2</t>
  </si>
  <si>
    <t>marié(e)</t>
  </si>
  <si>
    <t xml:space="preserve">YEO </t>
  </si>
  <si>
    <t>YVONNE</t>
  </si>
  <si>
    <t>N'DRI KOULE</t>
  </si>
  <si>
    <t>SAMUEL</t>
  </si>
  <si>
    <t xml:space="preserve">angré </t>
  </si>
  <si>
    <t>COULIBALY N'DRI KOULE</t>
  </si>
  <si>
    <t>VICTOIRE</t>
  </si>
  <si>
    <t>angré</t>
  </si>
  <si>
    <t>époux</t>
  </si>
  <si>
    <t>épouse</t>
  </si>
  <si>
    <t>BAPES</t>
  </si>
  <si>
    <t>KELLAM</t>
  </si>
  <si>
    <t>KOUAKOU</t>
  </si>
  <si>
    <t>TABITA</t>
  </si>
  <si>
    <t>GNAHOUA</t>
  </si>
  <si>
    <t>ISRAEL</t>
  </si>
  <si>
    <t>marcory</t>
  </si>
  <si>
    <t xml:space="preserve">KIPRE </t>
  </si>
  <si>
    <t>ELVIRE</t>
  </si>
  <si>
    <t>cocody abatta</t>
  </si>
  <si>
    <t>KONAN</t>
  </si>
  <si>
    <t>LUCIEN</t>
  </si>
  <si>
    <t>KEMUEL</t>
  </si>
  <si>
    <t>ELIE</t>
  </si>
  <si>
    <t>EMMANUEL</t>
  </si>
  <si>
    <t>DANIEL</t>
  </si>
  <si>
    <t>RYAN</t>
  </si>
  <si>
    <t>METCHRO</t>
  </si>
  <si>
    <t>JAURES</t>
  </si>
  <si>
    <t>DJEDJE</t>
  </si>
  <si>
    <t>LOREN</t>
  </si>
  <si>
    <t>TRESOR</t>
  </si>
  <si>
    <t>DOUEHI</t>
  </si>
  <si>
    <t>EUNICE</t>
  </si>
  <si>
    <t xml:space="preserve">ADO </t>
  </si>
  <si>
    <t>ARSENE</t>
  </si>
  <si>
    <t>MME ADO</t>
  </si>
  <si>
    <t>SOLANGE</t>
  </si>
  <si>
    <t>EMMANUELA</t>
  </si>
  <si>
    <t>ELISABETH</t>
  </si>
  <si>
    <t>angré arcades</t>
  </si>
  <si>
    <t>yopougon</t>
  </si>
  <si>
    <t>riviera faya</t>
  </si>
  <si>
    <t>riviera attoban</t>
  </si>
  <si>
    <t>ANGELA</t>
  </si>
  <si>
    <t>SANDRINE</t>
  </si>
  <si>
    <t>ELODIE</t>
  </si>
  <si>
    <t>ULRICH</t>
  </si>
  <si>
    <t>riviera anono</t>
  </si>
  <si>
    <t>ISAAC</t>
  </si>
  <si>
    <t>adjamé</t>
  </si>
  <si>
    <t>SEHI TCHAN LOU</t>
  </si>
  <si>
    <t>ELINA</t>
  </si>
  <si>
    <t>angré CGK</t>
  </si>
  <si>
    <t>ADOU KPASSOU</t>
  </si>
  <si>
    <t>JUSTINE</t>
  </si>
  <si>
    <t>route alepé</t>
  </si>
  <si>
    <t>POPO</t>
  </si>
  <si>
    <t>ROSE</t>
  </si>
  <si>
    <t>koumassi</t>
  </si>
  <si>
    <t xml:space="preserve">KADJO </t>
  </si>
  <si>
    <t>DAVILLA</t>
  </si>
  <si>
    <t>DAVID</t>
  </si>
  <si>
    <t>FAUSTIN</t>
  </si>
  <si>
    <t>SEYE</t>
  </si>
  <si>
    <t xml:space="preserve">MAGNAN </t>
  </si>
  <si>
    <t>EVELYNE</t>
  </si>
  <si>
    <t>dabou</t>
  </si>
  <si>
    <t>yamoussoukro</t>
  </si>
  <si>
    <t>france</t>
  </si>
  <si>
    <t>KOUAME</t>
  </si>
  <si>
    <t>MICHELLE</t>
  </si>
  <si>
    <t>n'dotre</t>
  </si>
  <si>
    <t>ODILE</t>
  </si>
  <si>
    <t>bingerville</t>
  </si>
  <si>
    <t>KOUASSI</t>
  </si>
  <si>
    <t>BIENVENU</t>
  </si>
  <si>
    <t>BRIGITTE</t>
  </si>
  <si>
    <t>DEPARTEMENT OU SERVICE D'APPARTENANCE</t>
  </si>
  <si>
    <t>IVAN</t>
  </si>
  <si>
    <t>KIMI</t>
  </si>
  <si>
    <t>JULIA</t>
  </si>
  <si>
    <t>AHOUASSA</t>
  </si>
  <si>
    <t>COUCOU</t>
  </si>
  <si>
    <t>PRISCA</t>
  </si>
  <si>
    <t>GIOVANNI</t>
  </si>
  <si>
    <t>JESSIE</t>
  </si>
  <si>
    <t>Administration</t>
  </si>
  <si>
    <t>Protocolat</t>
  </si>
  <si>
    <t>Intercession</t>
  </si>
  <si>
    <t>TEAM D'APPARTENANCE</t>
  </si>
  <si>
    <t>Paitre</t>
  </si>
  <si>
    <t>Priere</t>
  </si>
  <si>
    <t>SOSSO</t>
  </si>
  <si>
    <t>cocody</t>
  </si>
  <si>
    <t>ARIELLE</t>
  </si>
  <si>
    <t>angré chateau</t>
  </si>
  <si>
    <t>TRA BI IRIE YEDIDIA</t>
  </si>
  <si>
    <t>FERDINAND</t>
  </si>
  <si>
    <t>cocody insaac</t>
  </si>
  <si>
    <t>YAO TEHUA</t>
  </si>
  <si>
    <t>RAOUL</t>
  </si>
  <si>
    <t>YEPE GUY</t>
  </si>
  <si>
    <t>STEPHANE</t>
  </si>
  <si>
    <t>Parler</t>
  </si>
  <si>
    <t>JASMINE</t>
  </si>
  <si>
    <t>A</t>
  </si>
  <si>
    <t>P</t>
  </si>
  <si>
    <t>D</t>
  </si>
  <si>
    <t>DIMANCHE 13 JUILLET</t>
  </si>
  <si>
    <t>DIMANCHE 20 JUILLET</t>
  </si>
  <si>
    <t>DIMANCHE 27 JUILLET</t>
  </si>
  <si>
    <t>DIMANCHE 06 JUILLET</t>
  </si>
  <si>
    <t>ADMINISTRATION</t>
  </si>
  <si>
    <t>PROTOCOLE</t>
  </si>
  <si>
    <t>INTERCESSION</t>
  </si>
  <si>
    <t>GROUPE D'ADORATION</t>
  </si>
  <si>
    <t>ORGANISATION</t>
  </si>
  <si>
    <t>COMMUNICATION</t>
  </si>
  <si>
    <t>maladie</t>
  </si>
  <si>
    <t>congés de maternité</t>
  </si>
  <si>
    <t>travail</t>
  </si>
  <si>
    <t>voyage</t>
  </si>
  <si>
    <t>fatigue</t>
  </si>
  <si>
    <t>autres</t>
  </si>
  <si>
    <t>AIMEE</t>
  </si>
  <si>
    <t>BENJAMINE</t>
  </si>
  <si>
    <t>ERIC</t>
  </si>
  <si>
    <t>NAOMIE</t>
  </si>
  <si>
    <t>JEANNE</t>
  </si>
  <si>
    <t>AFFIAN</t>
  </si>
  <si>
    <t>BENEDICTE</t>
  </si>
  <si>
    <t>KEITA</t>
  </si>
  <si>
    <t>MIMI</t>
  </si>
  <si>
    <t>cocody nid</t>
  </si>
  <si>
    <t>FOFANA</t>
  </si>
  <si>
    <t>ADJA SAMIRA</t>
  </si>
  <si>
    <t>feh kesse</t>
  </si>
  <si>
    <t>anono</t>
  </si>
  <si>
    <t>ANGE</t>
  </si>
  <si>
    <t>mautres</t>
  </si>
  <si>
    <t>Total Absents</t>
  </si>
  <si>
    <t>Taux d'absence</t>
  </si>
  <si>
    <t>Total Présents</t>
  </si>
  <si>
    <t>Taux d'Absence</t>
  </si>
  <si>
    <t>DIMANCHE 13 JUILLET 2025</t>
  </si>
  <si>
    <t>DIMANCHE 20 JUILLET 2025</t>
  </si>
  <si>
    <t>DIMANCHE 27 JUILLET 2025</t>
  </si>
  <si>
    <t>TAUX D'ABSENCE</t>
  </si>
  <si>
    <t>DIMANCHE 5</t>
  </si>
  <si>
    <t>MOTIF ABSENCE 5</t>
  </si>
  <si>
    <t>DIMANCHE 03 AOUT</t>
  </si>
  <si>
    <t>DIMANCHE 10 AOUT</t>
  </si>
  <si>
    <t>DIMANCHE 17 AOUT</t>
  </si>
  <si>
    <t>MOIS D'AOUT 2025</t>
  </si>
  <si>
    <t>DIMANCHE 24 AOUT</t>
  </si>
  <si>
    <t>DIMANCHE 31 AOUT</t>
  </si>
  <si>
    <t>VOYAGE (PRESENTATION DE CONDOLEANCES)</t>
  </si>
  <si>
    <t>TRAVAIL</t>
  </si>
  <si>
    <t xml:space="preserve">VOYAGE  </t>
  </si>
  <si>
    <t>DIMANCHE 03 AOUT 2025</t>
  </si>
  <si>
    <t xml:space="preserve"> </t>
  </si>
  <si>
    <t>DIMANCHE 10 AOUT 2025</t>
  </si>
  <si>
    <t>DIMANCHE 17 AOUT 2025</t>
  </si>
  <si>
    <t>DIMANCHE 24 AOUT 2025</t>
  </si>
  <si>
    <t>DIMANCHE 31 AOUT 2025</t>
  </si>
  <si>
    <t>KOLOKO</t>
  </si>
  <si>
    <t>FRANCIS</t>
  </si>
  <si>
    <t>CHRISTELLE</t>
  </si>
  <si>
    <t>ALEXIS</t>
  </si>
  <si>
    <t>VOYAGE</t>
  </si>
  <si>
    <t>DIMANCHE 07 SEPTEMBRE</t>
  </si>
  <si>
    <t>DIMANCHE 14 SEPTEMBRE</t>
  </si>
  <si>
    <t>DIMANCHE 21 SEPTEMBRE</t>
  </si>
  <si>
    <t>DIMANCHE 28 SEPTEMBRE</t>
  </si>
  <si>
    <t xml:space="preserve">DIMANCHE 07 SEPTEMBRE </t>
  </si>
  <si>
    <t>MOIS DE SEPTEMBRE 2025</t>
  </si>
  <si>
    <t>HABITATION</t>
  </si>
  <si>
    <t xml:space="preserve">DEPARTEMENT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</si>
</sst>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#&quot; &quot;##&quot; &quot;##&quot; &quot;##&quot; &quot;##"/>
  </numFmts>
  <fonts count="9">
    <font>
      <sz val="11"/>
      <color theme="1"/>
      <name val="Aptos Narrow"/>
      <family val="2"/>
      <scheme val="minor"/>
    </font>
    <font>
      <b/>
      <sz val="11"/>
      <color theme="1"/>
      <name val="ADLaM Display"/>
    </font>
    <font>
      <b/>
      <sz val="14"/>
      <color rgb="FFFFD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i/>
      <sz val="11"/>
      <color rgb="FF7F7F7F"/>
      <name val="Aptos Narrow"/>
      <scheme val="minor"/>
    </font>
    <font>
      <b/>
      <sz val="11"/>
      <color theme="1"/>
      <name val="Aptos Narrow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4" fillId="3" borderId="5" applyNumberFormat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/>
    <xf numFmtId="0" fontId="0" fillId="0" borderId="4" xfId="0" applyBorder="1"/>
    <xf numFmtId="0" fontId="2" fillId="0" borderId="0" xfId="0" applyFont="1"/>
    <xf numFmtId="0" fontId="1" fillId="2" borderId="3" xfId="0" applyFont="1" applyFill="1" applyBorder="1"/>
    <xf numFmtId="0" fontId="1" fillId="2" borderId="4" xfId="0" applyFont="1" applyFill="1" applyBorder="1"/>
    <xf numFmtId="0" fontId="5" fillId="0" borderId="0" xfId="2"/>
    <xf numFmtId="9" fontId="5" fillId="0" borderId="0" xfId="2" applyNumberFormat="1"/>
    <xf numFmtId="0" fontId="6" fillId="0" borderId="0" xfId="2" applyFont="1"/>
    <xf numFmtId="0" fontId="1" fillId="2" borderId="3" xfId="0" applyFont="1" applyFill="1" applyBorder="1" applyAlignment="1">
      <alignment vertical="center"/>
    </xf>
    <xf numFmtId="0" fontId="0" fillId="0" borderId="6" xfId="0" applyBorder="1"/>
    <xf numFmtId="0" fontId="7" fillId="0" borderId="3" xfId="0" applyFont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9" fontId="4" fillId="3" borderId="5" xfId="1" applyNumberFormat="1" applyAlignment="1">
      <alignment horizontal="center" vertical="center"/>
    </xf>
    <xf numFmtId="0" fontId="4" fillId="3" borderId="5" xfId="1" applyAlignment="1">
      <alignment horizontal="center" vertical="center"/>
    </xf>
    <xf numFmtId="0" fontId="6" fillId="0" borderId="0" xfId="2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3" borderId="5" xfId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</cellXfs>
  <cellStyles count="3">
    <cellStyle name="Normal" xfId="0" builtinId="0"/>
    <cellStyle name="Sortie" xfId="1" builtinId="21"/>
    <cellStyle name="Texte explicatif" xfId="2" builtinId="53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9A4D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JUILLET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'LISTE DE PRESENCE JUILLET'!$Q$12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'LISTE DE PRESENCE JUILLET'!$O$13:$P$15</c:f>
              <c:strCache>
                <c:ptCount val="3"/>
                <c:pt idx="0">
                  <c:v>DIMANCHE 13 JUILLET 2025</c:v>
                </c:pt>
                <c:pt idx="1">
                  <c:v>DIMANCHE 20 JUILLET 2025</c:v>
                </c:pt>
                <c:pt idx="2">
                  <c:v>DIMANCHE 27 JUILLET 2025</c:v>
                </c:pt>
              </c:strCache>
            </c:strRef>
          </c:cat>
          <c:val>
            <c:numRef>
              <c:f>'LISTE DE PRESENCE JUILLET'!$Q$13:$Q$15</c:f>
              <c:numCache>
                <c:formatCode>0%</c:formatCode>
                <c:ptCount val="3"/>
                <c:pt idx="0">
                  <c:v>0.73684210526315785</c:v>
                </c:pt>
                <c:pt idx="1">
                  <c:v>0.61016949152542377</c:v>
                </c:pt>
                <c:pt idx="2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B-4FE7-BEB7-B819778E92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26356208"/>
        <c:axId val="426359816"/>
        <c:axId val="0"/>
      </c:bar3DChart>
      <c:catAx>
        <c:axId val="4263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9816"/>
        <c:crosses val="autoZero"/>
        <c:auto val="1"/>
        <c:lblAlgn val="ctr"/>
        <c:lblOffset val="100"/>
        <c:noMultiLvlLbl val="0"/>
      </c:catAx>
      <c:valAx>
        <c:axId val="4263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635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AOUT'!$S$14</c:f>
              <c:strCache>
                <c:ptCount val="1"/>
                <c:pt idx="0">
                  <c:v>TAUX D'ABSENCE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AOUT'!$S$15:$S$19</c:f>
              <c:numCache>
                <c:formatCode>0%</c:formatCode>
                <c:ptCount val="5"/>
                <c:pt idx="0">
                  <c:v>0.5423728813559322</c:v>
                </c:pt>
                <c:pt idx="1">
                  <c:v>0.63793103448275867</c:v>
                </c:pt>
                <c:pt idx="2">
                  <c:v>0.43243243243243246</c:v>
                </c:pt>
                <c:pt idx="3">
                  <c:v>0.54054054054054057</c:v>
                </c:pt>
                <c:pt idx="4">
                  <c:v>0.53448275862068961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34925" cap="rnd">
              <a:solidFill>
                <a:schemeClr val="accent5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118-44BE-8EE1-433D5647708D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756-9EA9-C62478B5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</a:t>
                </a:r>
                <a:r>
                  <a:rPr lang="fr-FR" baseline="0"/>
                  <a:t> D'AOÛT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'LISTE DE PRESENCE SEPTEMBRE'!$Q$14</c:f>
              <c:strCache>
                <c:ptCount val="1"/>
                <c:pt idx="0">
                  <c:v>TAUX D'ABSENCE</c:v>
                </c:pt>
              </c:strCache>
            </c:strRef>
          </c:tx>
          <c:spPr>
            <a:pattFill prst="narHorz">
              <a:fgClr>
                <a:schemeClr val="accent5">
                  <a:shade val="76000"/>
                </a:schemeClr>
              </a:fgClr>
              <a:bgClr>
                <a:schemeClr val="accent5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>
                  <a:shade val="76000"/>
                </a:schemeClr>
              </a:innerShdw>
            </a:effectLst>
          </c:spPr>
          <c:invertIfNegative val="0"/>
          <c:cat>
            <c:multiLvlStrRef>
              <c:f>'LISTE DE PRESENCE SEPTEMBRE'!$O$15:$R$18</c:f>
              <c:multiLvlStrCache>
                <c:ptCount val="4"/>
                <c:lvl>
                  <c:pt idx="0">
                    <c:v>53%</c:v>
                  </c:pt>
                  <c:pt idx="1">
                    <c:v>#DIV/0!</c:v>
                  </c:pt>
                  <c:pt idx="2">
                    <c:v>#DIV/0!</c:v>
                  </c:pt>
                  <c:pt idx="3">
                    <c:v>#DIV/0!</c:v>
                  </c:pt>
                </c:lvl>
                <c:lvl>
                  <c:pt idx="0">
                    <c:v>DIMANCHE 07 SEPTEMBRE </c:v>
                  </c:pt>
                  <c:pt idx="1">
                    <c:v>DIMANCHE 14 SEPTEMBRE</c:v>
                  </c:pt>
                  <c:pt idx="2">
                    <c:v>DIMANCHE 21 SEPTEMBRE</c:v>
                  </c:pt>
                  <c:pt idx="3">
                    <c:v>DIMANCHE 28 SEPTEMBRE</c:v>
                  </c:pt>
                </c:lvl>
              </c:multiLvlStrCache>
            </c:multiLvlStrRef>
          </c:cat>
          <c:val>
            <c:numRef>
              <c:f>'LISTE DE PRESENCE SEPTEMBRE'!$Q$15:$Q$18</c:f>
              <c:numCache>
                <c:formatCode>0%</c:formatCode>
                <c:ptCount val="4"/>
                <c:pt idx="0">
                  <c:v>0.52777777777777779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616136936"/>
        <c:axId val="616137592"/>
      </c:barChart>
      <c:lineChart>
        <c:grouping val="standard"/>
        <c:varyColors val="0"/>
        <c:ser>
          <c:idx val="1"/>
          <c:order val="1"/>
          <c:tx>
            <c:strRef>
              <c:f>'LISTE DE PRESENCE AOUT'!$T$14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DD47-4539-BD7A-D2E69761438A}"/>
              </c:ext>
            </c:extLst>
          </c:dPt>
          <c:cat>
            <c:strRef>
              <c:f>'LISTE DE PRESENCE AOUT'!$Q$15:$R$19</c:f>
              <c:strCache>
                <c:ptCount val="5"/>
                <c:pt idx="0">
                  <c:v>DIMANCHE 03 AOUT 2025</c:v>
                </c:pt>
                <c:pt idx="1">
                  <c:v>DIMANCHE 10 AOUT 2025</c:v>
                </c:pt>
                <c:pt idx="2">
                  <c:v>DIMANCHE 17 AOUT 2025</c:v>
                </c:pt>
                <c:pt idx="3">
                  <c:v>DIMANCHE 24 AOUT 2025</c:v>
                </c:pt>
                <c:pt idx="4">
                  <c:v>DIMANCHE 31 AOUT 2025</c:v>
                </c:pt>
              </c:strCache>
            </c:strRef>
          </c:cat>
          <c:val>
            <c:numRef>
              <c:f>'LISTE DE PRESENCE AOUT'!$T$15:$T$19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47-4539-BD7A-D2E697614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136936"/>
        <c:axId val="616137592"/>
      </c:lineChart>
      <c:catAx>
        <c:axId val="616136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 DE SEPTEMBRE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7592"/>
        <c:crosses val="autoZero"/>
        <c:auto val="1"/>
        <c:lblAlgn val="ctr"/>
        <c:lblOffset val="100"/>
        <c:noMultiLvlLbl val="0"/>
      </c:catAx>
      <c:valAx>
        <c:axId val="6161375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D'ABSENCE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6136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24321</xdr:colOff>
      <xdr:row>18</xdr:row>
      <xdr:rowOff>6486</xdr:rowOff>
    </xdr:from>
    <xdr:to>
      <xdr:col>18</xdr:col>
      <xdr:colOff>10133</xdr:colOff>
      <xdr:row>33</xdr:row>
      <xdr:rowOff>13782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3</xdr:row>
          <xdr:rowOff>114300</xdr:rowOff>
        </xdr:from>
        <xdr:to>
          <xdr:col>16</xdr:col>
          <xdr:colOff>962025</xdr:colOff>
          <xdr:row>3</xdr:row>
          <xdr:rowOff>447675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3</xdr:row>
          <xdr:rowOff>104775</xdr:rowOff>
        </xdr:from>
        <xdr:to>
          <xdr:col>18</xdr:col>
          <xdr:colOff>723900</xdr:colOff>
          <xdr:row>3</xdr:row>
          <xdr:rowOff>457200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03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0</xdr:colOff>
          <xdr:row>3</xdr:row>
          <xdr:rowOff>419100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10 AOUT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831271</xdr:colOff>
      <xdr:row>20</xdr:row>
      <xdr:rowOff>3031</xdr:rowOff>
    </xdr:from>
    <xdr:to>
      <xdr:col>26</xdr:col>
      <xdr:colOff>833436</xdr:colOff>
      <xdr:row>38</xdr:row>
      <xdr:rowOff>173182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3</xdr:row>
          <xdr:rowOff>419100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17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752475</xdr:colOff>
          <xdr:row>3</xdr:row>
          <xdr:rowOff>419100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24 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3</xdr:row>
          <xdr:rowOff>133350</xdr:rowOff>
        </xdr:from>
        <xdr:to>
          <xdr:col>26</xdr:col>
          <xdr:colOff>428625</xdr:colOff>
          <xdr:row>3</xdr:row>
          <xdr:rowOff>419100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</xdr:row>
          <xdr:rowOff>114300</xdr:rowOff>
        </xdr:from>
        <xdr:to>
          <xdr:col>14</xdr:col>
          <xdr:colOff>962025</xdr:colOff>
          <xdr:row>5</xdr:row>
          <xdr:rowOff>57150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 COMPLETE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3</xdr:row>
          <xdr:rowOff>104775</xdr:rowOff>
        </xdr:from>
        <xdr:to>
          <xdr:col>16</xdr:col>
          <xdr:colOff>723900</xdr:colOff>
          <xdr:row>5</xdr:row>
          <xdr:rowOff>66675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07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3</xdr:row>
          <xdr:rowOff>133350</xdr:rowOff>
        </xdr:from>
        <xdr:to>
          <xdr:col>18</xdr:col>
          <xdr:colOff>0</xdr:colOff>
          <xdr:row>5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14 SEPTEMBRE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831271</xdr:colOff>
      <xdr:row>20</xdr:row>
      <xdr:rowOff>1</xdr:rowOff>
    </xdr:from>
    <xdr:to>
      <xdr:col>24</xdr:col>
      <xdr:colOff>833436</xdr:colOff>
      <xdr:row>38</xdr:row>
      <xdr:rowOff>173183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133350</xdr:rowOff>
        </xdr:from>
        <xdr:to>
          <xdr:col>20</xdr:col>
          <xdr:colOff>752475</xdr:colOff>
          <xdr:row>5</xdr:row>
          <xdr:rowOff>28575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21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3</xdr:row>
          <xdr:rowOff>133350</xdr:rowOff>
        </xdr:from>
        <xdr:to>
          <xdr:col>22</xdr:col>
          <xdr:colOff>752475</xdr:colOff>
          <xdr:row>5</xdr:row>
          <xdr:rowOff>28575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28 SEPTEMBRE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3</xdr:row>
          <xdr:rowOff>133350</xdr:rowOff>
        </xdr:from>
        <xdr:to>
          <xdr:col>24</xdr:col>
          <xdr:colOff>428625</xdr:colOff>
          <xdr:row>5</xdr:row>
          <xdr:rowOff>28575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DIMANCHE 31 AOUT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au13" displayName="Tableau13" ref="A3:K123" totalsRowShown="0">
  <autoFilter ref="A3:K123"/>
  <tableColumns count="11">
    <tableColumn id="1" name="Nº"/>
    <tableColumn id="2" name="NOM"/>
    <tableColumn id="3" name="PRENOMS"/>
    <tableColumn id="4" name="HABITATION"/>
    <tableColumn id="14" name="SITUATION MATRIMONIALE"/>
    <tableColumn id="5" name="Nº TELEPHONE"/>
    <tableColumn id="13" name="PERSONNE A CONTACTER EN CAS D'URGENCE "/>
    <tableColumn id="6" name="AFFILIATION"/>
    <tableColumn id="7" name="BAPTEME"/>
    <tableColumn id="8" name="DEPARTEMENT " dataDxfId="5"/>
    <tableColumn id="18" name="TEAM D'APPARTENANC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Tableau134" displayName="Tableau134" ref="A4:M389" totalsRowShown="0">
  <autoFilter ref="A4:M389"/>
  <tableColumns count="13">
    <tableColumn id="1" name="Nº"/>
    <tableColumn id="2" name="NOM"/>
    <tableColumn id="3" name="PRENOMS"/>
    <tableColumn id="5" name="Nº TELEPHONE" dataDxfId="4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" name="Tableau1342" displayName="Tableau1342" ref="A4:O385" totalsRowShown="0">
  <autoFilter ref="A4:O385"/>
  <tableColumns count="15">
    <tableColumn id="1" name="Nº"/>
    <tableColumn id="2" name="NOM"/>
    <tableColumn id="3" name="PRENOMS"/>
    <tableColumn id="5" name="Nº TELEPHONE" dataDxfId="3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  <tableColumn id="4" name="DIMANCHE 5" dataDxfId="2"/>
    <tableColumn id="6" name="MOTIF ABSENCE 5" dataDxfId="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Tableau13425" displayName="Tableau13425" ref="A4:M385" totalsRowShown="0">
  <autoFilter ref="A4:M385"/>
  <tableColumns count="13">
    <tableColumn id="1" name="Nº"/>
    <tableColumn id="2" name="NOM"/>
    <tableColumn id="3" name="PRENOMS"/>
    <tableColumn id="5" name="Nº TELEPHONE" dataDxfId="0"/>
    <tableColumn id="18" name="DEPARTEMENT OU SERVICE D'APPARTENANCE"/>
    <tableColumn id="8" name="DIMANCHE 1"/>
    <tableColumn id="9" name="MOTIF ABSENCE"/>
    <tableColumn id="10" name="DIMANCHE 2"/>
    <tableColumn id="11" name="MOTIF ABSENCE2"/>
    <tableColumn id="16" name="DIMANCHE 3"/>
    <tableColumn id="15" name="MOTIF ABSENCE3"/>
    <tableColumn id="17" name="DIMANCHE 4"/>
    <tableColumn id="12" name="MOTIF ABSENCE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3:K123"/>
  <sheetViews>
    <sheetView tabSelected="1" workbookViewId="0">
      <selection activeCell="J4" sqref="J4"/>
    </sheetView>
  </sheetViews>
  <sheetFormatPr baseColWidth="10" defaultRowHeight="14.25"/>
  <cols>
    <col min="1" max="1" width="5.5" customWidth="1"/>
    <col min="2" max="2" width="22.5" customWidth="1"/>
    <col min="4" max="4" width="15.5" customWidth="1"/>
    <col min="5" max="5" width="16.75" customWidth="1"/>
    <col min="6" max="6" width="17.75" customWidth="1"/>
    <col min="7" max="7" width="23" customWidth="1"/>
    <col min="8" max="8" width="14.125" customWidth="1"/>
    <col min="10" max="10" width="28.5" customWidth="1"/>
    <col min="11" max="11" width="27.5" customWidth="1"/>
  </cols>
  <sheetData>
    <row r="3" spans="1:11" ht="36" customHeight="1">
      <c r="A3" s="1" t="s">
        <v>16</v>
      </c>
      <c r="B3" s="1" t="s">
        <v>5</v>
      </c>
      <c r="C3" s="1" t="s">
        <v>6</v>
      </c>
      <c r="D3" s="2" t="s">
        <v>207</v>
      </c>
      <c r="E3" s="2" t="s">
        <v>4</v>
      </c>
      <c r="F3" s="2" t="s">
        <v>0</v>
      </c>
      <c r="G3" s="2" t="s">
        <v>2</v>
      </c>
      <c r="H3" s="2" t="s">
        <v>3</v>
      </c>
      <c r="I3" s="1" t="s">
        <v>1</v>
      </c>
      <c r="J3" s="2" t="s">
        <v>208</v>
      </c>
      <c r="K3" s="2" t="s">
        <v>120</v>
      </c>
    </row>
    <row r="4" spans="1:11">
      <c r="A4" s="1">
        <v>1</v>
      </c>
      <c r="B4" s="1" t="s">
        <v>17</v>
      </c>
      <c r="C4" s="1" t="s">
        <v>18</v>
      </c>
      <c r="D4" s="1" t="s">
        <v>19</v>
      </c>
      <c r="E4" s="1" t="s">
        <v>20</v>
      </c>
      <c r="F4" s="3">
        <v>2250708740154</v>
      </c>
      <c r="G4" s="4">
        <v>2250707968424</v>
      </c>
      <c r="H4" s="1" t="s">
        <v>21</v>
      </c>
      <c r="I4" s="1" t="s">
        <v>22</v>
      </c>
      <c r="J4" s="1" t="s">
        <v>117</v>
      </c>
      <c r="K4" s="1" t="s">
        <v>121</v>
      </c>
    </row>
    <row r="5" spans="1:11">
      <c r="A5" s="1">
        <v>2</v>
      </c>
      <c r="B5" s="1" t="s">
        <v>23</v>
      </c>
      <c r="C5" s="1" t="s">
        <v>24</v>
      </c>
      <c r="D5" s="1" t="s">
        <v>25</v>
      </c>
      <c r="E5" s="1" t="s">
        <v>29</v>
      </c>
      <c r="F5" s="3">
        <v>2250709661689</v>
      </c>
      <c r="G5" s="4">
        <v>2250708848066</v>
      </c>
      <c r="H5" s="1" t="s">
        <v>38</v>
      </c>
      <c r="I5" s="1" t="s">
        <v>22</v>
      </c>
      <c r="J5" s="1" t="s">
        <v>117</v>
      </c>
      <c r="K5" s="1" t="s">
        <v>121</v>
      </c>
    </row>
    <row r="6" spans="1:11">
      <c r="A6" s="1">
        <v>3</v>
      </c>
      <c r="B6" s="1" t="s">
        <v>26</v>
      </c>
      <c r="C6" s="1" t="s">
        <v>27</v>
      </c>
      <c r="D6" s="1" t="s">
        <v>28</v>
      </c>
      <c r="E6" s="1" t="s">
        <v>29</v>
      </c>
      <c r="F6" s="3">
        <v>2250748441347</v>
      </c>
      <c r="G6" s="4">
        <v>2250747851053</v>
      </c>
      <c r="H6" s="1" t="s">
        <v>39</v>
      </c>
      <c r="I6" s="1" t="s">
        <v>22</v>
      </c>
      <c r="J6" s="1" t="s">
        <v>118</v>
      </c>
      <c r="K6" s="1" t="s">
        <v>121</v>
      </c>
    </row>
    <row r="7" spans="1:11">
      <c r="A7" s="1">
        <v>4</v>
      </c>
      <c r="B7" s="1" t="s">
        <v>30</v>
      </c>
      <c r="C7" s="1" t="s">
        <v>31</v>
      </c>
      <c r="D7" s="1" t="s">
        <v>28</v>
      </c>
      <c r="E7" s="1" t="s">
        <v>29</v>
      </c>
      <c r="F7" s="3">
        <v>2250747851053</v>
      </c>
      <c r="G7" s="4">
        <v>2250748441347</v>
      </c>
      <c r="H7" s="1" t="s">
        <v>38</v>
      </c>
      <c r="I7" s="1" t="s">
        <v>22</v>
      </c>
      <c r="J7" s="1" t="s">
        <v>119</v>
      </c>
      <c r="K7" s="1" t="s">
        <v>122</v>
      </c>
    </row>
    <row r="8" spans="1:11">
      <c r="A8" s="1">
        <v>5</v>
      </c>
      <c r="B8" s="1" t="s">
        <v>32</v>
      </c>
      <c r="C8" s="1" t="s">
        <v>33</v>
      </c>
      <c r="D8" s="1" t="s">
        <v>34</v>
      </c>
      <c r="E8" s="1" t="s">
        <v>29</v>
      </c>
      <c r="F8" s="3">
        <v>2250564852380</v>
      </c>
      <c r="G8" s="4">
        <v>2250759494605</v>
      </c>
      <c r="H8" s="1" t="s">
        <v>39</v>
      </c>
      <c r="I8" s="1" t="s">
        <v>22</v>
      </c>
      <c r="J8" s="1"/>
      <c r="K8" s="1"/>
    </row>
    <row r="9" spans="1:11">
      <c r="A9" s="1">
        <v>6</v>
      </c>
      <c r="B9" s="1" t="s">
        <v>35</v>
      </c>
      <c r="C9" s="1" t="s">
        <v>36</v>
      </c>
      <c r="D9" s="1" t="s">
        <v>37</v>
      </c>
      <c r="E9" s="1" t="s">
        <v>29</v>
      </c>
      <c r="F9" s="3">
        <v>2250759494605</v>
      </c>
      <c r="G9" s="4">
        <v>2250564852380</v>
      </c>
      <c r="H9" s="1" t="s">
        <v>38</v>
      </c>
      <c r="I9" s="1" t="s">
        <v>22</v>
      </c>
      <c r="J9" s="1"/>
      <c r="K9" s="1" t="s">
        <v>122</v>
      </c>
    </row>
    <row r="10" spans="1:11">
      <c r="A10" s="1">
        <v>7</v>
      </c>
      <c r="B10" s="1" t="s">
        <v>191</v>
      </c>
      <c r="C10" s="1" t="s">
        <v>41</v>
      </c>
      <c r="D10" s="1" t="s">
        <v>28</v>
      </c>
      <c r="E10" s="1" t="s">
        <v>20</v>
      </c>
      <c r="F10" s="3">
        <v>2250759472336</v>
      </c>
      <c r="G10" s="4"/>
      <c r="H10" s="1"/>
      <c r="I10" s="1"/>
      <c r="J10" s="1"/>
      <c r="K10" s="1" t="s">
        <v>122</v>
      </c>
    </row>
    <row r="11" spans="1:11">
      <c r="A11" s="1">
        <v>8</v>
      </c>
      <c r="B11" s="1" t="s">
        <v>42</v>
      </c>
      <c r="C11" s="1" t="s">
        <v>43</v>
      </c>
      <c r="D11" s="1" t="s">
        <v>37</v>
      </c>
      <c r="E11" s="1" t="s">
        <v>20</v>
      </c>
      <c r="F11" s="3">
        <v>2250703382671</v>
      </c>
      <c r="G11" s="4"/>
      <c r="H11" s="1"/>
      <c r="I11" s="1"/>
      <c r="J11" s="1"/>
      <c r="K11" s="1" t="s">
        <v>121</v>
      </c>
    </row>
    <row r="12" spans="1:11">
      <c r="A12" s="1">
        <v>9</v>
      </c>
      <c r="B12" s="1" t="s">
        <v>44</v>
      </c>
      <c r="C12" s="1" t="s">
        <v>45</v>
      </c>
      <c r="D12" s="1" t="s">
        <v>46</v>
      </c>
      <c r="E12" s="1" t="s">
        <v>20</v>
      </c>
      <c r="F12" s="3">
        <v>2250713934533</v>
      </c>
      <c r="G12" s="4"/>
      <c r="H12" s="1"/>
      <c r="I12" s="1"/>
      <c r="J12" s="1"/>
      <c r="K12" s="1" t="s">
        <v>122</v>
      </c>
    </row>
    <row r="13" spans="1:11">
      <c r="A13" s="1">
        <v>10</v>
      </c>
      <c r="B13" s="1" t="s">
        <v>47</v>
      </c>
      <c r="C13" s="1" t="s">
        <v>48</v>
      </c>
      <c r="D13" s="1" t="s">
        <v>49</v>
      </c>
      <c r="E13" s="1" t="s">
        <v>20</v>
      </c>
      <c r="F13" s="3">
        <v>2250760631164</v>
      </c>
      <c r="G13" s="4"/>
      <c r="H13" s="1"/>
      <c r="I13" s="1"/>
      <c r="J13" s="1"/>
      <c r="K13" s="1" t="s">
        <v>121</v>
      </c>
    </row>
    <row r="14" spans="1:11">
      <c r="A14" s="1">
        <v>11</v>
      </c>
      <c r="B14" s="1" t="s">
        <v>50</v>
      </c>
      <c r="C14" s="1" t="s">
        <v>51</v>
      </c>
      <c r="D14" s="1"/>
      <c r="E14" s="1" t="s">
        <v>20</v>
      </c>
      <c r="F14" s="3">
        <v>2250759194175</v>
      </c>
      <c r="G14" s="1"/>
      <c r="H14" s="1"/>
      <c r="I14" s="1"/>
      <c r="J14" s="1"/>
      <c r="K14" s="1"/>
    </row>
    <row r="15" spans="1:11">
      <c r="A15" s="1">
        <v>12</v>
      </c>
      <c r="B15" s="1" t="s">
        <v>32</v>
      </c>
      <c r="C15" s="1" t="s">
        <v>52</v>
      </c>
      <c r="D15" s="1" t="s">
        <v>70</v>
      </c>
      <c r="E15" s="1" t="s">
        <v>20</v>
      </c>
      <c r="F15" s="3">
        <v>2250712523365</v>
      </c>
      <c r="G15" s="1"/>
      <c r="H15" s="1"/>
      <c r="I15" s="1"/>
      <c r="J15" s="1"/>
      <c r="K15" s="1"/>
    </row>
    <row r="16" spans="1:11">
      <c r="A16" s="1">
        <v>13</v>
      </c>
      <c r="B16" s="1" t="s">
        <v>32</v>
      </c>
      <c r="C16" s="1" t="s">
        <v>53</v>
      </c>
      <c r="D16" s="1" t="s">
        <v>70</v>
      </c>
      <c r="E16" s="1" t="s">
        <v>20</v>
      </c>
      <c r="F16" s="3">
        <v>2250748055480</v>
      </c>
      <c r="G16" s="1"/>
      <c r="H16" s="1"/>
      <c r="I16" s="1"/>
      <c r="J16" s="1"/>
      <c r="K16" s="1"/>
    </row>
    <row r="17" spans="1:11">
      <c r="A17" s="1">
        <v>14</v>
      </c>
      <c r="B17" s="1" t="s">
        <v>32</v>
      </c>
      <c r="C17" s="1" t="s">
        <v>54</v>
      </c>
      <c r="D17" s="1" t="s">
        <v>70</v>
      </c>
      <c r="E17" s="1" t="s">
        <v>20</v>
      </c>
      <c r="F17" s="3">
        <v>2250777609361</v>
      </c>
      <c r="G17" s="1"/>
      <c r="H17" s="1"/>
      <c r="I17" s="1"/>
      <c r="J17" s="1"/>
      <c r="K17" s="1"/>
    </row>
    <row r="18" spans="1:11">
      <c r="A18" s="1">
        <v>15</v>
      </c>
      <c r="B18" s="1" t="s">
        <v>44</v>
      </c>
      <c r="C18" s="1" t="s">
        <v>55</v>
      </c>
      <c r="D18" s="1" t="s">
        <v>46</v>
      </c>
      <c r="E18" s="1" t="s">
        <v>20</v>
      </c>
      <c r="F18" s="3">
        <v>2250714205478</v>
      </c>
      <c r="G18" s="1"/>
      <c r="H18" s="1"/>
      <c r="I18" s="1"/>
      <c r="J18" s="1"/>
      <c r="K18" s="1"/>
    </row>
    <row r="19" spans="1:11">
      <c r="A19" s="1">
        <v>16</v>
      </c>
      <c r="B19" s="1" t="s">
        <v>57</v>
      </c>
      <c r="C19" s="1" t="s">
        <v>56</v>
      </c>
      <c r="D19" s="1" t="s">
        <v>46</v>
      </c>
      <c r="E19" s="1" t="s">
        <v>20</v>
      </c>
      <c r="F19" s="3">
        <v>2250714038262</v>
      </c>
      <c r="G19" s="1"/>
      <c r="H19" s="1"/>
      <c r="I19" s="1"/>
      <c r="J19" s="1"/>
      <c r="K19" s="1"/>
    </row>
    <row r="20" spans="1:11">
      <c r="A20" s="1">
        <v>17</v>
      </c>
      <c r="B20" s="1"/>
      <c r="C20" s="1" t="s">
        <v>58</v>
      </c>
      <c r="D20" s="1" t="s">
        <v>19</v>
      </c>
      <c r="E20" s="1" t="s">
        <v>20</v>
      </c>
      <c r="F20" s="3">
        <v>2250153865866</v>
      </c>
      <c r="G20" s="1"/>
      <c r="H20" s="1"/>
      <c r="I20" s="1"/>
      <c r="J20" s="1"/>
      <c r="K20" s="1"/>
    </row>
    <row r="21" spans="1:11">
      <c r="A21" s="1">
        <v>18</v>
      </c>
      <c r="B21" s="1" t="s">
        <v>59</v>
      </c>
      <c r="C21" s="1" t="s">
        <v>60</v>
      </c>
      <c r="D21" s="1" t="s">
        <v>71</v>
      </c>
      <c r="E21" s="1" t="s">
        <v>20</v>
      </c>
      <c r="F21" s="3">
        <v>2250759922332</v>
      </c>
      <c r="G21" s="1"/>
      <c r="H21" s="1"/>
      <c r="I21" s="1"/>
      <c r="J21" s="1"/>
      <c r="K21" s="1"/>
    </row>
    <row r="22" spans="1:11">
      <c r="A22" s="1">
        <v>19</v>
      </c>
      <c r="B22" s="1" t="s">
        <v>32</v>
      </c>
      <c r="C22" s="1" t="s">
        <v>61</v>
      </c>
      <c r="D22" s="1" t="s">
        <v>70</v>
      </c>
      <c r="E22" s="1" t="s">
        <v>20</v>
      </c>
      <c r="F22" s="3"/>
      <c r="G22" s="1"/>
      <c r="H22" s="1"/>
      <c r="I22" s="1"/>
      <c r="J22" s="1"/>
      <c r="K22" s="1"/>
    </row>
    <row r="23" spans="1:11">
      <c r="A23" s="1">
        <v>20</v>
      </c>
      <c r="B23" s="1" t="s">
        <v>62</v>
      </c>
      <c r="C23" s="1" t="s">
        <v>63</v>
      </c>
      <c r="D23" s="1" t="s">
        <v>72</v>
      </c>
      <c r="E23" s="1" t="s">
        <v>20</v>
      </c>
      <c r="F23" s="3">
        <v>2250712105541</v>
      </c>
      <c r="G23" s="1"/>
      <c r="H23" s="1"/>
      <c r="I23" s="1"/>
      <c r="J23" s="1"/>
      <c r="K23" s="1"/>
    </row>
    <row r="24" spans="1:11">
      <c r="A24" s="1">
        <v>21</v>
      </c>
      <c r="B24" s="1" t="s">
        <v>64</v>
      </c>
      <c r="C24" s="1" t="s">
        <v>65</v>
      </c>
      <c r="D24" s="1" t="s">
        <v>73</v>
      </c>
      <c r="E24" s="1" t="s">
        <v>29</v>
      </c>
      <c r="F24" s="3">
        <v>2250759331275</v>
      </c>
      <c r="G24" s="1"/>
      <c r="H24" s="1"/>
      <c r="I24" s="1"/>
      <c r="J24" s="1"/>
      <c r="K24" s="1"/>
    </row>
    <row r="25" spans="1:11">
      <c r="A25" s="1">
        <v>22</v>
      </c>
      <c r="B25" s="1" t="s">
        <v>66</v>
      </c>
      <c r="C25" s="1"/>
      <c r="D25" s="1" t="s">
        <v>73</v>
      </c>
      <c r="E25" s="1" t="s">
        <v>29</v>
      </c>
      <c r="F25" s="3">
        <v>2250171714329</v>
      </c>
      <c r="G25" s="1"/>
      <c r="H25" s="1"/>
      <c r="I25" s="1"/>
      <c r="J25" s="1"/>
      <c r="K25" s="1"/>
    </row>
    <row r="26" spans="1:11">
      <c r="A26" s="1">
        <v>23</v>
      </c>
      <c r="B26" s="1"/>
      <c r="C26" s="1" t="s">
        <v>67</v>
      </c>
      <c r="D26" s="1" t="s">
        <v>78</v>
      </c>
      <c r="E26" s="1" t="s">
        <v>20</v>
      </c>
      <c r="F26" s="3">
        <v>2250544938393</v>
      </c>
      <c r="G26" s="1"/>
      <c r="H26" s="1"/>
      <c r="I26" s="1"/>
      <c r="J26" s="1"/>
      <c r="K26" s="1"/>
    </row>
    <row r="27" spans="1:11">
      <c r="A27" s="1">
        <v>24</v>
      </c>
      <c r="B27" s="1"/>
      <c r="C27" s="1" t="s">
        <v>68</v>
      </c>
      <c r="D27" s="1" t="s">
        <v>78</v>
      </c>
      <c r="E27" s="1" t="s">
        <v>20</v>
      </c>
      <c r="F27" s="3"/>
      <c r="G27" s="1"/>
      <c r="H27" s="1"/>
      <c r="I27" s="1"/>
      <c r="J27" s="1"/>
      <c r="K27" s="1"/>
    </row>
    <row r="28" spans="1:11">
      <c r="A28" s="1">
        <v>25</v>
      </c>
      <c r="B28" s="1"/>
      <c r="C28" s="1" t="s">
        <v>69</v>
      </c>
      <c r="D28" s="1" t="s">
        <v>19</v>
      </c>
      <c r="E28" s="1" t="s">
        <v>20</v>
      </c>
      <c r="F28" s="3">
        <v>2250150315539</v>
      </c>
      <c r="G28" s="1"/>
      <c r="H28" s="1"/>
      <c r="I28" s="1"/>
      <c r="J28" s="1"/>
      <c r="K28" s="1"/>
    </row>
    <row r="29" spans="1:11">
      <c r="A29" s="1">
        <v>26</v>
      </c>
      <c r="B29" s="1"/>
      <c r="C29" s="1" t="s">
        <v>74</v>
      </c>
      <c r="D29" s="1" t="s">
        <v>19</v>
      </c>
      <c r="E29" s="1" t="s">
        <v>20</v>
      </c>
      <c r="F29" s="3">
        <v>2250150520571</v>
      </c>
      <c r="G29" s="1"/>
      <c r="H29" s="1"/>
      <c r="I29" s="1"/>
      <c r="J29" s="1"/>
      <c r="K29" s="1"/>
    </row>
    <row r="30" spans="1:11">
      <c r="A30" s="1">
        <v>27</v>
      </c>
      <c r="B30" s="1" t="s">
        <v>112</v>
      </c>
      <c r="C30" s="1" t="s">
        <v>75</v>
      </c>
      <c r="D30" s="1" t="s">
        <v>19</v>
      </c>
      <c r="E30" s="1" t="s">
        <v>20</v>
      </c>
      <c r="F30" s="3">
        <v>2250709792965</v>
      </c>
      <c r="G30" s="1"/>
      <c r="H30" s="1"/>
      <c r="I30" s="1"/>
      <c r="J30" s="1"/>
      <c r="K30" s="1"/>
    </row>
    <row r="31" spans="1:11">
      <c r="A31" s="1">
        <v>28</v>
      </c>
      <c r="B31" s="1"/>
      <c r="C31" s="1" t="s">
        <v>76</v>
      </c>
      <c r="D31" s="1" t="s">
        <v>28</v>
      </c>
      <c r="E31" s="1" t="s">
        <v>20</v>
      </c>
      <c r="F31" s="3">
        <v>2250767821454</v>
      </c>
      <c r="G31" s="1"/>
      <c r="H31" s="1"/>
      <c r="I31" s="1"/>
      <c r="J31" s="1"/>
      <c r="K31" s="1"/>
    </row>
    <row r="32" spans="1:11">
      <c r="A32" s="1">
        <v>29</v>
      </c>
      <c r="B32" s="1"/>
      <c r="C32" s="1" t="s">
        <v>33</v>
      </c>
      <c r="D32" s="1" t="s">
        <v>28</v>
      </c>
      <c r="E32" s="1" t="s">
        <v>20</v>
      </c>
      <c r="F32" s="3"/>
      <c r="G32" s="1"/>
      <c r="H32" s="1"/>
      <c r="I32" s="1"/>
      <c r="J32" s="1"/>
      <c r="K32" s="1"/>
    </row>
    <row r="33" spans="1:11">
      <c r="A33" s="1">
        <v>30</v>
      </c>
      <c r="B33" s="1"/>
      <c r="C33" s="1" t="s">
        <v>77</v>
      </c>
      <c r="D33" s="1" t="s">
        <v>71</v>
      </c>
      <c r="E33" s="1" t="s">
        <v>20</v>
      </c>
      <c r="F33" s="3"/>
      <c r="G33" s="1"/>
      <c r="H33" s="1"/>
      <c r="I33" s="1"/>
      <c r="J33" s="1"/>
      <c r="K33" s="1"/>
    </row>
    <row r="34" spans="1:11">
      <c r="A34" s="1">
        <v>31</v>
      </c>
      <c r="B34" s="1"/>
      <c r="C34" s="1" t="s">
        <v>79</v>
      </c>
      <c r="D34" s="1" t="s">
        <v>80</v>
      </c>
      <c r="E34" s="1" t="s">
        <v>20</v>
      </c>
      <c r="F34" s="3">
        <v>2250151324300</v>
      </c>
      <c r="G34" s="1"/>
      <c r="H34" s="1"/>
      <c r="I34" s="1"/>
      <c r="J34" s="1"/>
      <c r="K34" s="1"/>
    </row>
    <row r="35" spans="1:11">
      <c r="A35" s="1">
        <v>32</v>
      </c>
      <c r="B35" s="1" t="s">
        <v>81</v>
      </c>
      <c r="C35" s="1" t="s">
        <v>82</v>
      </c>
      <c r="D35" s="1" t="s">
        <v>83</v>
      </c>
      <c r="E35" s="1" t="s">
        <v>20</v>
      </c>
      <c r="F35" s="3">
        <v>2250759844124</v>
      </c>
      <c r="G35" s="1"/>
      <c r="H35" s="1"/>
      <c r="I35" s="1"/>
      <c r="J35" s="1"/>
      <c r="K35" s="1" t="s">
        <v>121</v>
      </c>
    </row>
    <row r="36" spans="1:11">
      <c r="A36" s="1">
        <v>33</v>
      </c>
      <c r="B36" s="1" t="s">
        <v>84</v>
      </c>
      <c r="C36" s="1" t="s">
        <v>85</v>
      </c>
      <c r="D36" s="1" t="s">
        <v>86</v>
      </c>
      <c r="E36" s="1" t="s">
        <v>29</v>
      </c>
      <c r="F36" s="3">
        <v>2250769332840</v>
      </c>
      <c r="G36" s="1"/>
      <c r="H36" s="1"/>
      <c r="I36" s="1"/>
      <c r="J36" s="1"/>
      <c r="K36" s="1" t="s">
        <v>134</v>
      </c>
    </row>
    <row r="37" spans="1:11">
      <c r="A37" s="1">
        <v>34</v>
      </c>
      <c r="B37" s="1" t="s">
        <v>87</v>
      </c>
      <c r="C37" s="1" t="s">
        <v>88</v>
      </c>
      <c r="D37" s="1" t="s">
        <v>89</v>
      </c>
      <c r="E37" s="1" t="s">
        <v>20</v>
      </c>
      <c r="F37" s="3">
        <v>2250747186965</v>
      </c>
      <c r="G37" s="1"/>
      <c r="H37" s="1"/>
      <c r="I37" s="1"/>
      <c r="J37" s="1"/>
      <c r="K37" s="1"/>
    </row>
    <row r="38" spans="1:11">
      <c r="A38" s="1">
        <v>35</v>
      </c>
      <c r="B38" s="1" t="s">
        <v>90</v>
      </c>
      <c r="C38" s="1" t="s">
        <v>91</v>
      </c>
      <c r="D38" s="1" t="s">
        <v>99</v>
      </c>
      <c r="E38" s="1" t="s">
        <v>20</v>
      </c>
      <c r="F38" s="3">
        <v>2250757102682</v>
      </c>
      <c r="G38" s="1"/>
      <c r="H38" s="1"/>
      <c r="I38" s="1"/>
      <c r="J38" s="1"/>
      <c r="K38" s="1"/>
    </row>
    <row r="39" spans="1:11">
      <c r="A39" s="1">
        <v>36</v>
      </c>
      <c r="B39" s="1" t="s">
        <v>94</v>
      </c>
      <c r="C39" s="1" t="s">
        <v>92</v>
      </c>
      <c r="D39" s="1" t="s">
        <v>98</v>
      </c>
      <c r="E39" s="1" t="s">
        <v>20</v>
      </c>
      <c r="F39" s="3">
        <v>2250767486748</v>
      </c>
      <c r="G39" s="1"/>
      <c r="H39" s="1"/>
      <c r="I39" s="1"/>
      <c r="J39" s="1"/>
      <c r="K39" s="1"/>
    </row>
    <row r="40" spans="1:11">
      <c r="A40" s="1">
        <v>37</v>
      </c>
      <c r="B40" s="1" t="s">
        <v>100</v>
      </c>
      <c r="C40" s="1" t="s">
        <v>93</v>
      </c>
      <c r="D40" s="1" t="s">
        <v>97</v>
      </c>
      <c r="E40" s="1" t="s">
        <v>20</v>
      </c>
      <c r="F40" s="3">
        <v>2250779005712</v>
      </c>
      <c r="G40" s="1"/>
      <c r="H40" s="1"/>
      <c r="I40" s="1"/>
      <c r="J40" s="1"/>
      <c r="K40" s="1"/>
    </row>
    <row r="41" spans="1:11">
      <c r="A41" s="1">
        <v>38</v>
      </c>
      <c r="B41" s="1" t="s">
        <v>95</v>
      </c>
      <c r="C41" s="1" t="s">
        <v>96</v>
      </c>
      <c r="D41" s="1" t="s">
        <v>71</v>
      </c>
      <c r="E41" s="1" t="s">
        <v>29</v>
      </c>
      <c r="F41" s="3">
        <v>2250759840149</v>
      </c>
      <c r="G41" s="1"/>
      <c r="H41" s="1"/>
      <c r="I41" s="1"/>
      <c r="J41" s="1"/>
      <c r="K41" s="1"/>
    </row>
    <row r="42" spans="1:11">
      <c r="A42" s="1">
        <v>39</v>
      </c>
      <c r="B42" s="1" t="s">
        <v>42</v>
      </c>
      <c r="C42" s="1"/>
      <c r="D42" s="1" t="s">
        <v>102</v>
      </c>
      <c r="E42" s="1" t="s">
        <v>20</v>
      </c>
      <c r="F42" s="3">
        <v>2250709193369</v>
      </c>
      <c r="G42" s="1"/>
      <c r="H42" s="1"/>
      <c r="I42" s="1"/>
      <c r="J42" s="1"/>
      <c r="K42" s="1"/>
    </row>
    <row r="43" spans="1:11">
      <c r="A43" s="1">
        <v>40</v>
      </c>
      <c r="B43" s="1"/>
      <c r="C43" s="1" t="s">
        <v>101</v>
      </c>
      <c r="D43" s="1" t="s">
        <v>102</v>
      </c>
      <c r="E43" s="1" t="s">
        <v>20</v>
      </c>
      <c r="F43" s="3"/>
      <c r="G43" s="1"/>
      <c r="H43" s="1"/>
      <c r="I43" s="1"/>
      <c r="J43" s="1"/>
      <c r="K43" s="1"/>
    </row>
    <row r="44" spans="1:11">
      <c r="A44" s="1">
        <v>41</v>
      </c>
      <c r="B44" s="1" t="s">
        <v>105</v>
      </c>
      <c r="C44" s="1" t="s">
        <v>103</v>
      </c>
      <c r="D44" s="1" t="s">
        <v>104</v>
      </c>
      <c r="E44" s="1" t="s">
        <v>29</v>
      </c>
      <c r="F44" s="3">
        <v>2250101775707</v>
      </c>
      <c r="G44" s="1"/>
      <c r="H44" s="1"/>
      <c r="I44" s="1"/>
      <c r="J44" s="1"/>
      <c r="K44" s="1"/>
    </row>
    <row r="45" spans="1:11">
      <c r="A45" s="1">
        <v>42</v>
      </c>
      <c r="B45" s="1"/>
      <c r="C45" s="1" t="s">
        <v>106</v>
      </c>
      <c r="D45" s="1" t="s">
        <v>19</v>
      </c>
      <c r="E45" s="1" t="s">
        <v>20</v>
      </c>
      <c r="F45" s="3"/>
      <c r="G45" s="1"/>
      <c r="H45" s="1"/>
      <c r="I45" s="1"/>
      <c r="J45" s="1"/>
      <c r="K45" s="1"/>
    </row>
    <row r="46" spans="1:11">
      <c r="A46" s="1">
        <v>43</v>
      </c>
      <c r="B46" s="1"/>
      <c r="C46" s="1" t="s">
        <v>107</v>
      </c>
      <c r="D46" s="1" t="s">
        <v>19</v>
      </c>
      <c r="E46" s="1" t="s">
        <v>20</v>
      </c>
      <c r="F46" s="3">
        <v>2250507305833</v>
      </c>
      <c r="G46" s="1"/>
      <c r="H46" s="1"/>
      <c r="I46" s="1"/>
      <c r="J46" s="1"/>
      <c r="K46" s="1"/>
    </row>
    <row r="47" spans="1:11">
      <c r="A47" s="1">
        <v>44</v>
      </c>
      <c r="B47" s="1"/>
      <c r="C47" s="1" t="s">
        <v>109</v>
      </c>
      <c r="D47" s="1" t="s">
        <v>46</v>
      </c>
      <c r="E47" s="1" t="s">
        <v>20</v>
      </c>
      <c r="F47" s="3">
        <v>2250788893541</v>
      </c>
      <c r="G47" s="1"/>
      <c r="H47" s="1"/>
      <c r="I47" s="1"/>
      <c r="J47" s="1"/>
      <c r="K47" s="1"/>
    </row>
    <row r="48" spans="1:11">
      <c r="A48" s="1">
        <v>45</v>
      </c>
      <c r="B48" s="1"/>
      <c r="C48" s="1" t="s">
        <v>110</v>
      </c>
      <c r="D48" s="1" t="s">
        <v>89</v>
      </c>
      <c r="E48" s="1" t="s">
        <v>20</v>
      </c>
      <c r="F48" s="3">
        <v>2250757354449</v>
      </c>
      <c r="G48" s="1"/>
      <c r="H48" s="1"/>
      <c r="I48" s="1"/>
      <c r="J48" s="1"/>
      <c r="K48" s="1"/>
    </row>
    <row r="49" spans="1:11">
      <c r="A49" s="1">
        <v>46</v>
      </c>
      <c r="B49" s="1"/>
      <c r="C49" s="1" t="s">
        <v>111</v>
      </c>
      <c r="D49" s="1" t="s">
        <v>89</v>
      </c>
      <c r="E49" s="1" t="s">
        <v>20</v>
      </c>
      <c r="F49" s="3">
        <v>2250767008346</v>
      </c>
      <c r="G49" s="1"/>
      <c r="H49" s="1"/>
      <c r="I49" s="1"/>
      <c r="J49" s="1"/>
      <c r="K49" s="1"/>
    </row>
    <row r="50" spans="1:11">
      <c r="A50" s="1">
        <v>47</v>
      </c>
      <c r="B50" s="1" t="s">
        <v>113</v>
      </c>
      <c r="C50" s="1" t="s">
        <v>114</v>
      </c>
      <c r="D50" s="1" t="s">
        <v>73</v>
      </c>
      <c r="E50" s="1" t="s">
        <v>20</v>
      </c>
      <c r="F50" s="3">
        <v>2250140072250</v>
      </c>
      <c r="G50" s="1"/>
      <c r="H50" s="1"/>
      <c r="I50" s="1"/>
      <c r="J50" s="1"/>
      <c r="K50" s="1"/>
    </row>
    <row r="51" spans="1:11">
      <c r="A51" s="1">
        <v>48</v>
      </c>
      <c r="B51" s="1" t="s">
        <v>123</v>
      </c>
      <c r="C51" s="1" t="s">
        <v>115</v>
      </c>
      <c r="D51" s="1" t="s">
        <v>124</v>
      </c>
      <c r="E51" s="1" t="s">
        <v>20</v>
      </c>
      <c r="F51" s="3">
        <v>2250709520439</v>
      </c>
      <c r="G51" s="1"/>
      <c r="H51" s="1"/>
      <c r="I51" s="1"/>
      <c r="J51" s="1"/>
      <c r="K51" s="1"/>
    </row>
    <row r="52" spans="1:11">
      <c r="A52" s="1">
        <v>49</v>
      </c>
      <c r="B52" s="1"/>
      <c r="C52" s="1" t="s">
        <v>116</v>
      </c>
      <c r="D52" s="1" t="s">
        <v>49</v>
      </c>
      <c r="E52" s="1" t="s">
        <v>20</v>
      </c>
      <c r="F52" s="3">
        <v>2250705071561</v>
      </c>
      <c r="G52" s="1"/>
      <c r="H52" s="1"/>
      <c r="I52" s="1"/>
      <c r="J52" s="1"/>
      <c r="K52" s="1"/>
    </row>
    <row r="53" spans="1:11">
      <c r="A53" s="1">
        <v>50</v>
      </c>
      <c r="B53" s="1"/>
      <c r="C53" s="1" t="s">
        <v>125</v>
      </c>
      <c r="D53" s="1" t="s">
        <v>126</v>
      </c>
      <c r="E53" s="1" t="s">
        <v>20</v>
      </c>
      <c r="F53" s="3">
        <v>2250757864911</v>
      </c>
      <c r="G53" s="3">
        <v>2250758134959</v>
      </c>
      <c r="H53" s="1"/>
      <c r="I53" s="1"/>
      <c r="J53" s="1"/>
      <c r="K53" s="1"/>
    </row>
    <row r="54" spans="1:11">
      <c r="A54" s="1">
        <v>51</v>
      </c>
      <c r="B54" s="1" t="s">
        <v>127</v>
      </c>
      <c r="C54" s="1" t="s">
        <v>128</v>
      </c>
      <c r="D54" s="1" t="s">
        <v>129</v>
      </c>
      <c r="E54" s="1" t="s">
        <v>20</v>
      </c>
      <c r="F54" s="3">
        <v>2250713998079</v>
      </c>
      <c r="G54" s="1"/>
      <c r="H54" s="1"/>
      <c r="I54" s="1"/>
      <c r="J54" s="1"/>
      <c r="K54" s="1"/>
    </row>
    <row r="55" spans="1:11">
      <c r="A55" s="1">
        <v>52</v>
      </c>
      <c r="B55" s="1" t="s">
        <v>130</v>
      </c>
      <c r="C55" s="1" t="s">
        <v>131</v>
      </c>
      <c r="D55" s="1" t="s">
        <v>129</v>
      </c>
      <c r="E55" s="1" t="s">
        <v>20</v>
      </c>
      <c r="F55" s="3">
        <v>2250767322354</v>
      </c>
      <c r="G55" s="1"/>
      <c r="H55" s="1"/>
      <c r="I55" s="1"/>
      <c r="J55" s="1"/>
      <c r="K55" s="1"/>
    </row>
    <row r="56" spans="1:11">
      <c r="A56" s="1">
        <v>53</v>
      </c>
      <c r="B56" s="1" t="s">
        <v>132</v>
      </c>
      <c r="C56" s="1" t="s">
        <v>133</v>
      </c>
      <c r="D56" s="1" t="s">
        <v>129</v>
      </c>
      <c r="E56" s="1" t="s">
        <v>20</v>
      </c>
      <c r="F56" s="3">
        <v>2250749303420</v>
      </c>
      <c r="G56" s="1"/>
      <c r="H56" s="1"/>
      <c r="I56" s="1"/>
      <c r="J56" s="1"/>
      <c r="K56" s="1"/>
    </row>
    <row r="57" spans="1:11">
      <c r="A57" s="1">
        <v>54</v>
      </c>
      <c r="B57" s="1"/>
      <c r="C57" s="1" t="s">
        <v>135</v>
      </c>
      <c r="D57" s="1" t="s">
        <v>104</v>
      </c>
      <c r="E57" s="1" t="s">
        <v>20</v>
      </c>
      <c r="F57" s="3">
        <v>2250142727109</v>
      </c>
      <c r="G57" s="1"/>
      <c r="H57" s="1"/>
      <c r="I57" s="1"/>
      <c r="J57" s="1"/>
      <c r="K57" s="1"/>
    </row>
    <row r="58" spans="1:11">
      <c r="A58" s="1">
        <v>55</v>
      </c>
      <c r="B58" s="1"/>
      <c r="C58" s="7" t="s">
        <v>155</v>
      </c>
      <c r="D58" s="1" t="s">
        <v>28</v>
      </c>
      <c r="E58" s="1" t="s">
        <v>20</v>
      </c>
      <c r="F58" s="3">
        <v>2250747424318</v>
      </c>
      <c r="G58" s="1"/>
      <c r="H58" s="1"/>
      <c r="I58" s="1"/>
      <c r="J58" s="1"/>
      <c r="K58" s="1"/>
    </row>
    <row r="59" spans="1:11">
      <c r="A59" s="1">
        <v>56</v>
      </c>
      <c r="B59" s="1"/>
      <c r="C59" s="7" t="s">
        <v>156</v>
      </c>
      <c r="D59" s="1" t="s">
        <v>28</v>
      </c>
      <c r="E59" s="1" t="s">
        <v>20</v>
      </c>
      <c r="F59" s="3">
        <v>2250152275819</v>
      </c>
      <c r="G59" s="1"/>
      <c r="H59" s="1"/>
      <c r="I59" s="1"/>
      <c r="J59" s="1"/>
      <c r="K59" s="1"/>
    </row>
    <row r="60" spans="1:11">
      <c r="A60" s="1">
        <v>57</v>
      </c>
      <c r="B60" s="1"/>
      <c r="C60" s="7" t="s">
        <v>157</v>
      </c>
      <c r="D60" s="1" t="s">
        <v>28</v>
      </c>
      <c r="E60" s="1" t="s">
        <v>20</v>
      </c>
      <c r="F60" s="3">
        <v>2250758244460</v>
      </c>
      <c r="G60" s="1"/>
      <c r="H60" s="1"/>
      <c r="I60" s="1"/>
      <c r="J60" s="1"/>
      <c r="K60" s="1"/>
    </row>
    <row r="61" spans="1:11">
      <c r="A61" s="1">
        <v>58</v>
      </c>
      <c r="B61" s="1"/>
      <c r="C61" s="7" t="s">
        <v>158</v>
      </c>
      <c r="D61" s="1" t="s">
        <v>28</v>
      </c>
      <c r="E61" s="1" t="s">
        <v>20</v>
      </c>
      <c r="F61" s="3">
        <v>2250594876100</v>
      </c>
      <c r="G61" s="1"/>
      <c r="H61" s="1"/>
      <c r="I61" s="1"/>
      <c r="J61" s="1"/>
      <c r="K61" s="1"/>
    </row>
    <row r="62" spans="1:11">
      <c r="A62" s="1">
        <v>59</v>
      </c>
      <c r="B62" s="1" t="s">
        <v>160</v>
      </c>
      <c r="C62" s="7" t="s">
        <v>159</v>
      </c>
      <c r="D62" s="1" t="s">
        <v>37</v>
      </c>
      <c r="E62" s="1" t="s">
        <v>20</v>
      </c>
      <c r="F62" s="3">
        <v>2250507668347</v>
      </c>
      <c r="G62" s="1"/>
      <c r="H62" s="1"/>
      <c r="I62" s="1"/>
      <c r="J62" s="1"/>
      <c r="K62" s="1"/>
    </row>
    <row r="63" spans="1:11">
      <c r="A63" s="1">
        <v>60</v>
      </c>
      <c r="B63" s="1"/>
      <c r="C63" s="7" t="s">
        <v>161</v>
      </c>
      <c r="D63" s="3"/>
      <c r="E63" s="1" t="s">
        <v>20</v>
      </c>
      <c r="F63" s="3">
        <v>2250595321849</v>
      </c>
      <c r="G63" s="1"/>
      <c r="H63" s="1"/>
      <c r="I63" s="1"/>
      <c r="J63" s="1"/>
      <c r="K63" s="1"/>
    </row>
    <row r="64" spans="1:11">
      <c r="A64" s="1">
        <v>61</v>
      </c>
      <c r="B64" s="1" t="s">
        <v>162</v>
      </c>
      <c r="C64" s="1" t="s">
        <v>163</v>
      </c>
      <c r="D64" s="1" t="s">
        <v>164</v>
      </c>
      <c r="E64" s="1" t="s">
        <v>20</v>
      </c>
      <c r="F64" s="3">
        <v>2250798250548</v>
      </c>
      <c r="G64" s="1"/>
      <c r="H64" s="1"/>
      <c r="I64" s="1"/>
      <c r="J64" s="1"/>
      <c r="K64" s="1"/>
    </row>
    <row r="65" spans="1:11">
      <c r="A65" s="1">
        <v>62</v>
      </c>
      <c r="B65" s="1" t="s">
        <v>165</v>
      </c>
      <c r="C65" s="1" t="s">
        <v>166</v>
      </c>
      <c r="D65" s="1" t="s">
        <v>167</v>
      </c>
      <c r="E65" s="1" t="s">
        <v>20</v>
      </c>
      <c r="F65" s="3">
        <v>2250777235405</v>
      </c>
      <c r="G65" s="1"/>
      <c r="H65" s="1"/>
      <c r="I65" s="1"/>
      <c r="J65" s="1"/>
      <c r="K65" s="1"/>
    </row>
    <row r="66" spans="1:11">
      <c r="A66" s="1">
        <v>63</v>
      </c>
      <c r="B66" s="1"/>
      <c r="C66" s="1" t="s">
        <v>169</v>
      </c>
      <c r="D66" s="1" t="s">
        <v>168</v>
      </c>
      <c r="E66" s="1" t="s">
        <v>20</v>
      </c>
      <c r="F66" s="3">
        <v>2252575853889</v>
      </c>
      <c r="G66" s="1"/>
      <c r="H66" s="1"/>
      <c r="I66" s="1"/>
      <c r="J66" s="1"/>
      <c r="K66" s="1"/>
    </row>
    <row r="67" spans="1:11">
      <c r="A67" s="1">
        <v>64</v>
      </c>
      <c r="B67" s="1"/>
      <c r="C67" s="1"/>
      <c r="D67" s="1"/>
      <c r="E67" s="1"/>
      <c r="F67" s="3"/>
      <c r="G67" s="1"/>
      <c r="H67" s="1"/>
      <c r="I67" s="1"/>
      <c r="J67" s="1"/>
      <c r="K67" s="1"/>
    </row>
    <row r="68" spans="1:11">
      <c r="A68" s="1">
        <v>65</v>
      </c>
      <c r="B68" s="1"/>
      <c r="C68" s="1"/>
      <c r="D68" s="1"/>
      <c r="E68" s="1"/>
      <c r="F68" s="3"/>
      <c r="G68" s="1"/>
      <c r="H68" s="1"/>
      <c r="I68" s="1"/>
      <c r="J68" s="1"/>
      <c r="K68" s="1"/>
    </row>
    <row r="69" spans="1:11">
      <c r="A69" s="1">
        <v>66</v>
      </c>
      <c r="B69" s="1"/>
      <c r="C69" s="1"/>
      <c r="D69" s="1"/>
      <c r="E69" s="1"/>
      <c r="F69" s="3"/>
      <c r="G69" s="1"/>
      <c r="H69" s="1"/>
      <c r="I69" s="1"/>
      <c r="J69" s="1"/>
      <c r="K69" s="1"/>
    </row>
    <row r="70" spans="1:11">
      <c r="A70" s="1">
        <v>67</v>
      </c>
      <c r="B70" s="1"/>
      <c r="C70" s="1"/>
      <c r="D70" s="1"/>
      <c r="E70" s="1"/>
      <c r="F70" s="3"/>
      <c r="G70" s="1"/>
      <c r="H70" s="1"/>
      <c r="I70" s="1"/>
      <c r="J70" s="1"/>
      <c r="K70" s="1"/>
    </row>
    <row r="71" spans="1:11">
      <c r="A71" s="1">
        <v>68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>
      <c r="A72" s="1">
        <v>69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>
      <c r="A73" s="1">
        <v>70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>
      <c r="A74" s="1">
        <v>71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>
      <c r="A75" s="1">
        <v>72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>
      <c r="A76" s="1">
        <v>73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>
      <c r="A77" s="1">
        <v>74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>
      <c r="A78" s="1">
        <v>75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>
      <c r="A79" s="1">
        <v>76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>
      <c r="A80" s="1">
        <v>77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>
      <c r="A81" s="1">
        <v>78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>
      <c r="A82" s="1">
        <v>79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>
      <c r="A83" s="1">
        <v>80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>
      <c r="A84" s="1">
        <v>81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>
      <c r="A85" s="1">
        <v>82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>
      <c r="A86" s="1">
        <v>83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>
      <c r="A87" s="1">
        <v>84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>
      <c r="A88" s="1">
        <v>85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>
      <c r="A89" s="1">
        <v>86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>
      <c r="A90" s="1">
        <v>87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>
      <c r="A91" s="1">
        <v>88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>
      <c r="A92" s="1">
        <v>89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>
      <c r="A93" s="1">
        <v>90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>
      <c r="A94" s="1">
        <v>91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>
      <c r="A95" s="1">
        <v>92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>
      <c r="A96" s="1">
        <v>93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>
      <c r="A97" s="1">
        <v>94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>
      <c r="A98" s="1">
        <v>95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>
      <c r="A99" s="1">
        <v>96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>
      <c r="A100" s="1">
        <v>97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>
      <c r="A101" s="1">
        <v>98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>
      <c r="A102" s="1">
        <v>99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>
      <c r="A103" s="1">
        <v>100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>
      <c r="A104" s="1">
        <v>101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>
      <c r="A105" s="1">
        <v>102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>
      <c r="A106" s="1">
        <v>103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>
      <c r="A107" s="1">
        <v>104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>
      <c r="A108" s="1">
        <v>105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>
      <c r="A109" s="1">
        <v>106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>
      <c r="A110" s="1">
        <v>107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>
      <c r="A111" s="1">
        <v>108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>
      <c r="A112" s="1">
        <v>109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>
      <c r="A113" s="1">
        <v>110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>
      <c r="A114" s="1">
        <v>111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>
      <c r="A115" s="1">
        <v>112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>
      <c r="A116" s="1">
        <v>113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>
      <c r="A117" s="1">
        <v>114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>
      <c r="A118" s="1">
        <v>115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>
      <c r="A119" s="1">
        <v>116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>
      <c r="A120" s="1">
        <v>117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>
      <c r="A121" s="1">
        <v>118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>
      <c r="A122" s="1">
        <v>119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>
      <c r="A123" s="1">
        <v>120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389"/>
  <sheetViews>
    <sheetView topLeftCell="N4" zoomScale="94" zoomScaleNormal="94" workbookViewId="0">
      <selection activeCell="O12" sqref="O12:R15"/>
    </sheetView>
  </sheetViews>
  <sheetFormatPr baseColWidth="10" defaultRowHeight="14.25"/>
  <cols>
    <col min="1" max="1" width="5.5" customWidth="1"/>
    <col min="2" max="2" width="22.5" customWidth="1"/>
    <col min="3" max="3" width="11" customWidth="1"/>
    <col min="4" max="4" width="17.75" customWidth="1"/>
    <col min="5" max="5" width="27.5" customWidth="1"/>
    <col min="6" max="6" width="21.75" customWidth="1"/>
    <col min="7" max="7" width="18.5" customWidth="1"/>
    <col min="8" max="8" width="21.75" bestFit="1" customWidth="1"/>
    <col min="9" max="9" width="19.5" customWidth="1"/>
    <col min="10" max="10" width="21.75" bestFit="1" customWidth="1"/>
    <col min="11" max="11" width="19.5" bestFit="1" customWidth="1"/>
    <col min="12" max="12" width="21.75" bestFit="1" customWidth="1"/>
    <col min="13" max="13" width="19.5" bestFit="1" customWidth="1"/>
    <col min="16" max="16" width="26.5" bestFit="1" customWidth="1"/>
    <col min="17" max="17" width="17.375" bestFit="1" customWidth="1"/>
    <col min="19" max="19" width="17.875" customWidth="1"/>
    <col min="22" max="22" width="16.625" customWidth="1"/>
    <col min="23" max="23" width="13.875" customWidth="1"/>
  </cols>
  <sheetData>
    <row r="1" spans="1:23" ht="18">
      <c r="A1" s="9"/>
    </row>
    <row r="2" spans="1:23" ht="15" customHeight="1">
      <c r="F2" s="23" t="s">
        <v>15</v>
      </c>
      <c r="G2" s="24"/>
      <c r="H2" s="24"/>
      <c r="I2" s="24"/>
      <c r="J2" s="24"/>
      <c r="K2" s="24"/>
      <c r="L2" s="24"/>
      <c r="M2" s="25"/>
    </row>
    <row r="3" spans="1:23" ht="15">
      <c r="F3" s="5" t="s">
        <v>142</v>
      </c>
      <c r="G3" s="10"/>
      <c r="H3" s="6" t="s">
        <v>139</v>
      </c>
      <c r="I3" s="10"/>
      <c r="J3" s="6" t="s">
        <v>140</v>
      </c>
      <c r="K3" s="10"/>
      <c r="L3" s="6" t="s">
        <v>141</v>
      </c>
      <c r="M3" s="11"/>
    </row>
    <row r="4" spans="1:23" ht="36" customHeight="1">
      <c r="A4" s="1" t="s">
        <v>16</v>
      </c>
      <c r="B4" s="1" t="s">
        <v>5</v>
      </c>
      <c r="C4" s="1" t="s">
        <v>6</v>
      </c>
      <c r="D4" s="2" t="s">
        <v>0</v>
      </c>
      <c r="E4" s="2" t="s">
        <v>108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1" t="s">
        <v>13</v>
      </c>
    </row>
    <row r="5" spans="1:23">
      <c r="A5" s="1">
        <v>1</v>
      </c>
      <c r="B5" s="1" t="s">
        <v>17</v>
      </c>
      <c r="C5" s="7" t="s">
        <v>18</v>
      </c>
      <c r="D5" s="3">
        <v>2250708740154</v>
      </c>
      <c r="E5" s="8" t="s">
        <v>143</v>
      </c>
      <c r="F5" s="1"/>
      <c r="G5" s="1"/>
      <c r="H5" s="1" t="s">
        <v>136</v>
      </c>
      <c r="I5" s="1" t="s">
        <v>149</v>
      </c>
      <c r="J5" s="1" t="s">
        <v>136</v>
      </c>
      <c r="K5" s="1" t="s">
        <v>154</v>
      </c>
      <c r="L5" s="1" t="s">
        <v>136</v>
      </c>
      <c r="M5" s="1"/>
      <c r="P5" s="22" t="s">
        <v>175</v>
      </c>
      <c r="Q5" s="22"/>
      <c r="S5" s="22" t="s">
        <v>176</v>
      </c>
      <c r="T5" s="22"/>
      <c r="V5" s="22" t="s">
        <v>177</v>
      </c>
      <c r="W5" s="22"/>
    </row>
    <row r="6" spans="1:23">
      <c r="A6" s="1">
        <v>2</v>
      </c>
      <c r="B6" s="1" t="s">
        <v>23</v>
      </c>
      <c r="C6" s="7" t="s">
        <v>24</v>
      </c>
      <c r="D6" s="3">
        <v>2250709661689</v>
      </c>
      <c r="E6" s="8" t="s">
        <v>144</v>
      </c>
      <c r="F6" s="1"/>
      <c r="G6" s="1"/>
      <c r="H6" s="1" t="s">
        <v>137</v>
      </c>
      <c r="I6" s="1"/>
      <c r="J6" s="1" t="s">
        <v>137</v>
      </c>
      <c r="K6" s="1"/>
      <c r="L6" s="1" t="s">
        <v>137</v>
      </c>
      <c r="M6" s="1"/>
      <c r="P6" s="14" t="s">
        <v>173</v>
      </c>
      <c r="Q6" s="12">
        <f>COUNTIF(H:H,"P")</f>
        <v>15</v>
      </c>
      <c r="S6" s="14" t="s">
        <v>173</v>
      </c>
      <c r="T6" s="12">
        <f>COUNTIF(J:J,"P")</f>
        <v>23</v>
      </c>
      <c r="V6" s="14" t="s">
        <v>173</v>
      </c>
      <c r="W6" s="12">
        <f>COUNTIF(L:L,"P")</f>
        <v>27</v>
      </c>
    </row>
    <row r="7" spans="1:23">
      <c r="A7" s="1">
        <v>3</v>
      </c>
      <c r="B7" s="1" t="s">
        <v>26</v>
      </c>
      <c r="C7" s="7" t="s">
        <v>27</v>
      </c>
      <c r="D7" s="3">
        <v>2250748441347</v>
      </c>
      <c r="E7" s="8" t="s">
        <v>144</v>
      </c>
      <c r="F7" s="1"/>
      <c r="G7" s="1"/>
      <c r="H7" s="1" t="s">
        <v>137</v>
      </c>
      <c r="I7" s="1"/>
      <c r="J7" s="1" t="s">
        <v>137</v>
      </c>
      <c r="K7" s="1"/>
      <c r="L7" s="1" t="s">
        <v>137</v>
      </c>
      <c r="M7" s="1"/>
      <c r="P7" s="14" t="s">
        <v>171</v>
      </c>
      <c r="Q7" s="12">
        <f>COUNTIF(H:H,"A")</f>
        <v>42</v>
      </c>
      <c r="S7" s="14" t="s">
        <v>171</v>
      </c>
      <c r="T7" s="12">
        <f>COUNTIF(J:J,"A")</f>
        <v>36</v>
      </c>
      <c r="V7" s="14" t="s">
        <v>171</v>
      </c>
      <c r="W7" s="12">
        <f>COUNTIF(L:L,"A")</f>
        <v>33</v>
      </c>
    </row>
    <row r="8" spans="1:23">
      <c r="A8" s="1">
        <v>4</v>
      </c>
      <c r="B8" s="1" t="s">
        <v>30</v>
      </c>
      <c r="C8" s="7" t="s">
        <v>31</v>
      </c>
      <c r="D8" s="3">
        <v>2250747851053</v>
      </c>
      <c r="E8" s="8" t="s">
        <v>145</v>
      </c>
      <c r="F8" s="1"/>
      <c r="G8" s="1"/>
      <c r="H8" s="1" t="s">
        <v>136</v>
      </c>
      <c r="I8" s="1" t="s">
        <v>150</v>
      </c>
      <c r="J8" s="1" t="s">
        <v>136</v>
      </c>
      <c r="K8" s="1" t="s">
        <v>150</v>
      </c>
      <c r="L8" s="1" t="s">
        <v>136</v>
      </c>
      <c r="M8" s="1"/>
      <c r="P8" s="14" t="s">
        <v>172</v>
      </c>
      <c r="Q8" s="13">
        <f>Q7/(Q7+Q6)</f>
        <v>0.73684210526315785</v>
      </c>
      <c r="S8" s="14" t="s">
        <v>174</v>
      </c>
      <c r="T8" s="13">
        <f>T7/(T7+T6)</f>
        <v>0.61016949152542377</v>
      </c>
      <c r="V8" s="14" t="s">
        <v>174</v>
      </c>
      <c r="W8" s="13">
        <f>W7/(W7+W6)</f>
        <v>0.55000000000000004</v>
      </c>
    </row>
    <row r="9" spans="1:23">
      <c r="A9" s="1">
        <v>5</v>
      </c>
      <c r="B9" s="1" t="s">
        <v>32</v>
      </c>
      <c r="C9" s="7" t="s">
        <v>33</v>
      </c>
      <c r="D9" s="3">
        <v>2250564852380</v>
      </c>
      <c r="E9" s="8"/>
      <c r="F9" s="1"/>
      <c r="G9" s="1"/>
      <c r="H9" s="1" t="s">
        <v>136</v>
      </c>
      <c r="I9" s="1" t="s">
        <v>151</v>
      </c>
      <c r="J9" s="1" t="s">
        <v>137</v>
      </c>
      <c r="K9" s="1"/>
      <c r="L9" s="1" t="s">
        <v>137</v>
      </c>
      <c r="M9" s="1"/>
    </row>
    <row r="10" spans="1:23">
      <c r="A10" s="1">
        <v>6</v>
      </c>
      <c r="B10" s="1" t="s">
        <v>35</v>
      </c>
      <c r="C10" s="7" t="s">
        <v>36</v>
      </c>
      <c r="D10" s="3">
        <v>2250759494605</v>
      </c>
      <c r="E10" s="8"/>
      <c r="F10" s="1"/>
      <c r="G10" s="1"/>
      <c r="H10" s="1" t="s">
        <v>137</v>
      </c>
      <c r="I10" s="1"/>
      <c r="J10" s="1" t="s">
        <v>137</v>
      </c>
      <c r="K10" s="1"/>
      <c r="L10" s="1" t="s">
        <v>137</v>
      </c>
      <c r="M10" s="1"/>
    </row>
    <row r="11" spans="1:23">
      <c r="A11" s="1">
        <v>7</v>
      </c>
      <c r="B11" s="1" t="s">
        <v>40</v>
      </c>
      <c r="C11" s="7" t="s">
        <v>41</v>
      </c>
      <c r="D11" s="3">
        <v>2250759472336</v>
      </c>
      <c r="E11" s="8" t="s">
        <v>146</v>
      </c>
      <c r="F11" s="1"/>
      <c r="G11" s="1"/>
      <c r="H11" s="1" t="s">
        <v>137</v>
      </c>
      <c r="I11" s="1"/>
      <c r="J11" s="1" t="s">
        <v>137</v>
      </c>
      <c r="K11" s="1"/>
      <c r="L11" s="1" t="s">
        <v>137</v>
      </c>
      <c r="M11" s="1"/>
    </row>
    <row r="12" spans="1:23" ht="22.5" customHeight="1">
      <c r="A12" s="1">
        <v>8</v>
      </c>
      <c r="B12" s="1" t="s">
        <v>42</v>
      </c>
      <c r="C12" s="7" t="s">
        <v>43</v>
      </c>
      <c r="D12" s="3">
        <v>2250703382671</v>
      </c>
      <c r="E12" s="8" t="s">
        <v>144</v>
      </c>
      <c r="F12" s="1"/>
      <c r="G12" s="1"/>
      <c r="H12" s="1" t="s">
        <v>137</v>
      </c>
      <c r="I12" s="1"/>
      <c r="J12" s="1" t="s">
        <v>136</v>
      </c>
      <c r="K12" s="1" t="s">
        <v>149</v>
      </c>
      <c r="L12" s="1" t="s">
        <v>137</v>
      </c>
      <c r="M12" s="1"/>
      <c r="O12" s="26"/>
      <c r="P12" s="26"/>
      <c r="Q12" s="21" t="s">
        <v>178</v>
      </c>
      <c r="R12" s="21"/>
    </row>
    <row r="13" spans="1:23" ht="22.5" customHeight="1">
      <c r="A13" s="1">
        <v>9</v>
      </c>
      <c r="B13" s="1" t="s">
        <v>44</v>
      </c>
      <c r="C13" s="7" t="s">
        <v>45</v>
      </c>
      <c r="D13" s="3">
        <v>2250713934533</v>
      </c>
      <c r="E13" s="8" t="s">
        <v>146</v>
      </c>
      <c r="F13" s="1"/>
      <c r="G13" s="1"/>
      <c r="H13" s="1" t="s">
        <v>137</v>
      </c>
      <c r="I13" s="1"/>
      <c r="J13" s="1" t="s">
        <v>137</v>
      </c>
      <c r="K13" s="1"/>
      <c r="L13" s="1" t="s">
        <v>137</v>
      </c>
      <c r="M13" s="1"/>
      <c r="O13" s="21" t="s">
        <v>175</v>
      </c>
      <c r="P13" s="21"/>
      <c r="Q13" s="20">
        <f>Q8</f>
        <v>0.73684210526315785</v>
      </c>
      <c r="R13" s="20"/>
    </row>
    <row r="14" spans="1:23" ht="22.5" customHeight="1">
      <c r="A14" s="1">
        <v>10</v>
      </c>
      <c r="B14" s="1" t="s">
        <v>47</v>
      </c>
      <c r="C14" s="7" t="s">
        <v>48</v>
      </c>
      <c r="D14" s="3">
        <v>2250760631164</v>
      </c>
      <c r="E14" s="8" t="s">
        <v>146</v>
      </c>
      <c r="F14" s="1"/>
      <c r="G14" s="1"/>
      <c r="H14" s="1" t="s">
        <v>137</v>
      </c>
      <c r="I14" s="1"/>
      <c r="J14" s="1" t="s">
        <v>137</v>
      </c>
      <c r="K14" s="1"/>
      <c r="L14" s="1" t="s">
        <v>137</v>
      </c>
      <c r="M14" s="1"/>
      <c r="O14" s="21" t="s">
        <v>176</v>
      </c>
      <c r="P14" s="21"/>
      <c r="Q14" s="20">
        <f>T8</f>
        <v>0.61016949152542377</v>
      </c>
      <c r="R14" s="20"/>
    </row>
    <row r="15" spans="1:23" ht="22.5" customHeight="1">
      <c r="A15" s="1">
        <v>11</v>
      </c>
      <c r="B15" s="1" t="s">
        <v>50</v>
      </c>
      <c r="C15" s="7" t="s">
        <v>51</v>
      </c>
      <c r="D15" s="3">
        <v>2250759194175</v>
      </c>
      <c r="E15" s="8" t="s">
        <v>146</v>
      </c>
      <c r="F15" s="1"/>
      <c r="G15" s="1"/>
      <c r="H15" s="1" t="s">
        <v>136</v>
      </c>
      <c r="I15" s="1" t="s">
        <v>152</v>
      </c>
      <c r="J15" s="1" t="s">
        <v>137</v>
      </c>
      <c r="K15" s="1"/>
      <c r="L15" s="1" t="s">
        <v>136</v>
      </c>
      <c r="M15" s="1"/>
      <c r="O15" s="21" t="s">
        <v>177</v>
      </c>
      <c r="P15" s="21"/>
      <c r="Q15" s="20">
        <f>W8</f>
        <v>0.55000000000000004</v>
      </c>
      <c r="R15" s="20"/>
    </row>
    <row r="16" spans="1:23">
      <c r="A16" s="1">
        <v>12</v>
      </c>
      <c r="B16" s="1" t="s">
        <v>32</v>
      </c>
      <c r="C16" s="7" t="s">
        <v>52</v>
      </c>
      <c r="D16" s="3">
        <v>2250712523365</v>
      </c>
      <c r="E16" s="8" t="s">
        <v>146</v>
      </c>
      <c r="F16" s="1"/>
      <c r="G16" s="1"/>
      <c r="H16" s="1" t="s">
        <v>137</v>
      </c>
      <c r="I16" s="1"/>
      <c r="J16" s="1" t="s">
        <v>137</v>
      </c>
      <c r="K16" s="1"/>
      <c r="L16" s="1" t="s">
        <v>136</v>
      </c>
      <c r="M16" s="1"/>
    </row>
    <row r="17" spans="1:13">
      <c r="A17" s="1">
        <v>13</v>
      </c>
      <c r="B17" s="1" t="s">
        <v>32</v>
      </c>
      <c r="C17" s="7" t="s">
        <v>53</v>
      </c>
      <c r="D17" s="3">
        <v>2250748055480</v>
      </c>
      <c r="E17" s="8" t="s">
        <v>146</v>
      </c>
      <c r="F17" s="1"/>
      <c r="G17" s="1"/>
      <c r="H17" s="1" t="s">
        <v>137</v>
      </c>
      <c r="I17" s="1"/>
      <c r="J17" s="1" t="s">
        <v>137</v>
      </c>
      <c r="K17" s="1"/>
      <c r="L17" s="1" t="s">
        <v>137</v>
      </c>
      <c r="M17" s="1"/>
    </row>
    <row r="18" spans="1:13">
      <c r="A18" s="1">
        <v>14</v>
      </c>
      <c r="B18" s="1" t="s">
        <v>32</v>
      </c>
      <c r="C18" s="7" t="s">
        <v>54</v>
      </c>
      <c r="D18" s="3">
        <v>2250777609361</v>
      </c>
      <c r="E18" s="8" t="s">
        <v>146</v>
      </c>
      <c r="F18" s="1"/>
      <c r="G18" s="1"/>
      <c r="H18" s="1" t="s">
        <v>136</v>
      </c>
      <c r="I18" s="1" t="s">
        <v>149</v>
      </c>
      <c r="J18" s="1" t="s">
        <v>137</v>
      </c>
      <c r="K18" s="1"/>
      <c r="L18" s="1" t="s">
        <v>137</v>
      </c>
      <c r="M18" s="1"/>
    </row>
    <row r="19" spans="1:13">
      <c r="A19" s="1">
        <v>15</v>
      </c>
      <c r="B19" s="1" t="s">
        <v>44</v>
      </c>
      <c r="C19" s="7" t="s">
        <v>55</v>
      </c>
      <c r="D19" s="3">
        <v>2250714205478</v>
      </c>
      <c r="E19" s="8" t="s">
        <v>147</v>
      </c>
      <c r="F19" s="1"/>
      <c r="G19" s="1"/>
      <c r="H19" s="1" t="s">
        <v>137</v>
      </c>
      <c r="I19" s="1"/>
      <c r="J19" s="1" t="s">
        <v>137</v>
      </c>
      <c r="K19" s="1"/>
      <c r="L19" s="1" t="s">
        <v>137</v>
      </c>
      <c r="M19" s="1"/>
    </row>
    <row r="20" spans="1:13">
      <c r="A20" s="1">
        <v>16</v>
      </c>
      <c r="B20" s="1" t="s">
        <v>57</v>
      </c>
      <c r="C20" s="7" t="s">
        <v>56</v>
      </c>
      <c r="D20" s="3">
        <v>2250714038262</v>
      </c>
      <c r="E20" s="8" t="s">
        <v>147</v>
      </c>
      <c r="F20" s="1"/>
      <c r="G20" s="1"/>
      <c r="H20" s="1" t="s">
        <v>136</v>
      </c>
      <c r="I20" s="1" t="s">
        <v>153</v>
      </c>
      <c r="J20" s="1" t="s">
        <v>136</v>
      </c>
      <c r="K20" s="1" t="s">
        <v>170</v>
      </c>
      <c r="L20" s="1" t="s">
        <v>137</v>
      </c>
      <c r="M20" s="1"/>
    </row>
    <row r="21" spans="1:13">
      <c r="A21" s="1">
        <v>17</v>
      </c>
      <c r="B21" s="1"/>
      <c r="C21" s="7" t="s">
        <v>58</v>
      </c>
      <c r="D21" s="3">
        <v>2250153865866</v>
      </c>
      <c r="E21" s="8"/>
      <c r="F21" s="1"/>
      <c r="G21" s="1"/>
      <c r="H21" s="1" t="s">
        <v>136</v>
      </c>
      <c r="I21" s="1" t="s">
        <v>151</v>
      </c>
      <c r="J21" s="1" t="s">
        <v>136</v>
      </c>
      <c r="K21" s="1" t="s">
        <v>151</v>
      </c>
      <c r="L21" s="1" t="s">
        <v>136</v>
      </c>
      <c r="M21" s="1"/>
    </row>
    <row r="22" spans="1:13">
      <c r="A22" s="1">
        <v>18</v>
      </c>
      <c r="B22" s="1" t="s">
        <v>59</v>
      </c>
      <c r="C22" s="7" t="s">
        <v>60</v>
      </c>
      <c r="D22" s="3">
        <v>2250759922332</v>
      </c>
      <c r="E22" s="8" t="s">
        <v>148</v>
      </c>
      <c r="F22" s="1"/>
      <c r="G22" s="1"/>
      <c r="H22" s="1" t="s">
        <v>136</v>
      </c>
      <c r="I22" s="1" t="s">
        <v>153</v>
      </c>
      <c r="J22" s="1" t="s">
        <v>136</v>
      </c>
      <c r="K22" s="1" t="s">
        <v>153</v>
      </c>
      <c r="L22" s="1" t="s">
        <v>136</v>
      </c>
      <c r="M22" s="1"/>
    </row>
    <row r="23" spans="1:13">
      <c r="A23" s="1">
        <v>19</v>
      </c>
      <c r="B23" s="1" t="s">
        <v>32</v>
      </c>
      <c r="C23" s="7" t="s">
        <v>61</v>
      </c>
      <c r="D23" s="3"/>
      <c r="E23" s="8" t="s">
        <v>148</v>
      </c>
      <c r="F23" s="1"/>
      <c r="G23" s="1"/>
      <c r="H23" s="1" t="s">
        <v>136</v>
      </c>
      <c r="I23" s="1" t="s">
        <v>152</v>
      </c>
      <c r="J23" s="1" t="s">
        <v>137</v>
      </c>
      <c r="K23" s="1"/>
      <c r="L23" s="1" t="s">
        <v>136</v>
      </c>
      <c r="M23" s="1"/>
    </row>
    <row r="24" spans="1:13">
      <c r="A24" s="1">
        <v>20</v>
      </c>
      <c r="B24" s="1" t="s">
        <v>62</v>
      </c>
      <c r="C24" s="7" t="s">
        <v>63</v>
      </c>
      <c r="D24" s="3">
        <v>2250712105541</v>
      </c>
      <c r="E24" s="8" t="s">
        <v>148</v>
      </c>
      <c r="F24" s="1"/>
      <c r="G24" s="1"/>
      <c r="H24" s="1" t="s">
        <v>136</v>
      </c>
      <c r="I24" s="1" t="s">
        <v>149</v>
      </c>
      <c r="J24" s="1" t="s">
        <v>137</v>
      </c>
      <c r="K24" s="1"/>
      <c r="L24" s="1" t="s">
        <v>137</v>
      </c>
      <c r="M24" s="1"/>
    </row>
    <row r="25" spans="1:13">
      <c r="A25" s="1">
        <v>21</v>
      </c>
      <c r="B25" s="1" t="s">
        <v>64</v>
      </c>
      <c r="C25" s="7" t="s">
        <v>65</v>
      </c>
      <c r="D25" s="3">
        <v>2250759331275</v>
      </c>
      <c r="E25" s="8"/>
      <c r="F25" s="1"/>
      <c r="G25" s="1"/>
      <c r="H25" s="1" t="s">
        <v>137</v>
      </c>
      <c r="I25" s="1"/>
      <c r="J25" s="1" t="s">
        <v>136</v>
      </c>
      <c r="K25" s="1" t="s">
        <v>149</v>
      </c>
      <c r="L25" s="1" t="s">
        <v>137</v>
      </c>
      <c r="M25" s="1"/>
    </row>
    <row r="26" spans="1:13">
      <c r="A26" s="1">
        <v>22</v>
      </c>
      <c r="B26" s="1" t="s">
        <v>66</v>
      </c>
      <c r="C26" s="7"/>
      <c r="D26" s="3">
        <v>2250171714329</v>
      </c>
      <c r="E26" s="8"/>
      <c r="F26" s="1"/>
      <c r="G26" s="1"/>
      <c r="H26" s="1" t="s">
        <v>136</v>
      </c>
      <c r="I26" s="1" t="s">
        <v>154</v>
      </c>
      <c r="J26" s="1" t="s">
        <v>136</v>
      </c>
      <c r="K26" s="1" t="s">
        <v>149</v>
      </c>
      <c r="L26" s="1" t="s">
        <v>136</v>
      </c>
      <c r="M26" s="1"/>
    </row>
    <row r="27" spans="1:13">
      <c r="A27" s="1">
        <v>23</v>
      </c>
      <c r="B27" s="1"/>
      <c r="C27" s="7" t="s">
        <v>67</v>
      </c>
      <c r="D27" s="3">
        <v>2250544938393</v>
      </c>
      <c r="E27" s="8"/>
      <c r="F27" s="1"/>
      <c r="G27" s="1"/>
      <c r="H27" s="1" t="s">
        <v>136</v>
      </c>
      <c r="I27" s="1" t="s">
        <v>154</v>
      </c>
      <c r="J27" s="1" t="s">
        <v>137</v>
      </c>
      <c r="K27" s="1"/>
      <c r="L27" s="1" t="s">
        <v>137</v>
      </c>
      <c r="M27" s="1"/>
    </row>
    <row r="28" spans="1:13">
      <c r="A28" s="1">
        <v>24</v>
      </c>
      <c r="B28" s="1"/>
      <c r="C28" s="7" t="s">
        <v>68</v>
      </c>
      <c r="D28" s="3"/>
      <c r="E28" s="8"/>
      <c r="F28" s="1"/>
      <c r="G28" s="1"/>
      <c r="H28" s="1" t="s">
        <v>136</v>
      </c>
      <c r="I28" s="1" t="s">
        <v>151</v>
      </c>
      <c r="J28" s="1" t="s">
        <v>136</v>
      </c>
      <c r="K28" s="1" t="s">
        <v>151</v>
      </c>
      <c r="L28" s="1" t="s">
        <v>136</v>
      </c>
      <c r="M28" s="1"/>
    </row>
    <row r="29" spans="1:13">
      <c r="A29" s="1">
        <v>25</v>
      </c>
      <c r="B29" s="1"/>
      <c r="C29" s="7" t="s">
        <v>69</v>
      </c>
      <c r="D29" s="3">
        <v>2250150315539</v>
      </c>
      <c r="E29" s="8"/>
      <c r="F29" s="1"/>
      <c r="G29" s="1"/>
      <c r="H29" s="1" t="s">
        <v>136</v>
      </c>
      <c r="I29" s="1" t="s">
        <v>154</v>
      </c>
      <c r="J29" s="1" t="s">
        <v>137</v>
      </c>
      <c r="K29" s="1"/>
      <c r="L29" s="1" t="s">
        <v>137</v>
      </c>
      <c r="M29" s="1"/>
    </row>
    <row r="30" spans="1:13">
      <c r="A30" s="1">
        <v>26</v>
      </c>
      <c r="B30" s="1"/>
      <c r="C30" s="7" t="s">
        <v>74</v>
      </c>
      <c r="D30" s="3">
        <v>2250150520571</v>
      </c>
      <c r="E30" s="8"/>
      <c r="F30" s="1"/>
      <c r="G30" s="1"/>
      <c r="H30" s="1" t="s">
        <v>136</v>
      </c>
      <c r="I30" s="1" t="s">
        <v>154</v>
      </c>
      <c r="J30" s="1" t="s">
        <v>137</v>
      </c>
      <c r="K30" s="1"/>
      <c r="L30" s="1" t="s">
        <v>136</v>
      </c>
      <c r="M30" s="1"/>
    </row>
    <row r="31" spans="1:13">
      <c r="A31" s="1">
        <v>27</v>
      </c>
      <c r="B31" s="1" t="s">
        <v>112</v>
      </c>
      <c r="C31" s="7" t="s">
        <v>75</v>
      </c>
      <c r="D31" s="3">
        <v>2250709792965</v>
      </c>
      <c r="E31" s="8"/>
      <c r="F31" s="1"/>
      <c r="G31" s="1"/>
      <c r="H31" s="1" t="s">
        <v>136</v>
      </c>
      <c r="I31" s="1" t="s">
        <v>151</v>
      </c>
      <c r="J31" s="1" t="s">
        <v>136</v>
      </c>
      <c r="K31" s="1"/>
      <c r="L31" s="1" t="s">
        <v>136</v>
      </c>
      <c r="M31" s="1"/>
    </row>
    <row r="32" spans="1:13">
      <c r="A32" s="1">
        <v>28</v>
      </c>
      <c r="B32" s="1"/>
      <c r="C32" s="7" t="s">
        <v>76</v>
      </c>
      <c r="D32" s="3">
        <v>2250767821454</v>
      </c>
      <c r="E32" s="8"/>
      <c r="F32" s="1"/>
      <c r="G32" s="1"/>
      <c r="H32" s="1" t="s">
        <v>136</v>
      </c>
      <c r="I32" s="1" t="s">
        <v>154</v>
      </c>
      <c r="J32" s="1" t="s">
        <v>136</v>
      </c>
      <c r="K32" s="1"/>
      <c r="L32" s="1" t="s">
        <v>136</v>
      </c>
      <c r="M32" s="1"/>
    </row>
    <row r="33" spans="1:13">
      <c r="A33" s="1">
        <v>29</v>
      </c>
      <c r="B33" s="1"/>
      <c r="C33" s="7" t="s">
        <v>33</v>
      </c>
      <c r="D33" s="3"/>
      <c r="E33" s="8"/>
      <c r="F33" s="1"/>
      <c r="G33" s="1"/>
      <c r="H33" s="1" t="s">
        <v>136</v>
      </c>
      <c r="I33" s="1" t="s">
        <v>154</v>
      </c>
      <c r="J33" s="1" t="s">
        <v>136</v>
      </c>
      <c r="K33" s="1"/>
      <c r="L33" s="1" t="s">
        <v>136</v>
      </c>
      <c r="M33" s="1"/>
    </row>
    <row r="34" spans="1:13">
      <c r="A34" s="1">
        <v>30</v>
      </c>
      <c r="B34" s="1"/>
      <c r="C34" s="7" t="s">
        <v>77</v>
      </c>
      <c r="D34" s="3"/>
      <c r="E34" s="8"/>
      <c r="F34" s="1"/>
      <c r="G34" s="1"/>
      <c r="H34" s="1" t="s">
        <v>136</v>
      </c>
      <c r="I34" s="1" t="s">
        <v>154</v>
      </c>
      <c r="J34" s="1" t="s">
        <v>136</v>
      </c>
      <c r="K34" s="1" t="s">
        <v>154</v>
      </c>
      <c r="L34" s="1" t="s">
        <v>136</v>
      </c>
      <c r="M34" s="1"/>
    </row>
    <row r="35" spans="1:13">
      <c r="A35" s="1">
        <v>31</v>
      </c>
      <c r="B35" s="1"/>
      <c r="C35" s="7" t="s">
        <v>79</v>
      </c>
      <c r="D35" s="3">
        <v>2250151324300</v>
      </c>
      <c r="E35" s="8" t="s">
        <v>147</v>
      </c>
      <c r="F35" s="1"/>
      <c r="G35" s="1"/>
      <c r="H35" s="1" t="s">
        <v>137</v>
      </c>
      <c r="I35" s="1"/>
      <c r="J35" s="1" t="s">
        <v>137</v>
      </c>
      <c r="K35" s="1"/>
      <c r="L35" s="1" t="s">
        <v>137</v>
      </c>
      <c r="M35" s="1"/>
    </row>
    <row r="36" spans="1:13">
      <c r="A36" s="1">
        <v>32</v>
      </c>
      <c r="B36" s="1" t="s">
        <v>81</v>
      </c>
      <c r="C36" s="7" t="s">
        <v>82</v>
      </c>
      <c r="D36" s="3">
        <v>2250759844124</v>
      </c>
      <c r="E36" s="8" t="s">
        <v>147</v>
      </c>
      <c r="F36" s="1"/>
      <c r="G36" s="1"/>
      <c r="H36" s="1" t="s">
        <v>136</v>
      </c>
      <c r="I36" s="1" t="s">
        <v>149</v>
      </c>
      <c r="J36" s="1" t="s">
        <v>137</v>
      </c>
      <c r="K36" s="1"/>
      <c r="L36" s="1" t="s">
        <v>137</v>
      </c>
      <c r="M36" s="1"/>
    </row>
    <row r="37" spans="1:13">
      <c r="A37" s="1">
        <v>33</v>
      </c>
      <c r="B37" s="1" t="s">
        <v>84</v>
      </c>
      <c r="C37" s="7" t="s">
        <v>85</v>
      </c>
      <c r="D37" s="3">
        <v>2250769332840</v>
      </c>
      <c r="E37" s="8"/>
      <c r="F37" s="1"/>
      <c r="G37" s="1"/>
      <c r="H37" s="1" t="s">
        <v>136</v>
      </c>
      <c r="I37" s="1" t="s">
        <v>154</v>
      </c>
      <c r="J37" s="1" t="s">
        <v>137</v>
      </c>
      <c r="K37" s="1"/>
      <c r="L37" s="1" t="s">
        <v>136</v>
      </c>
      <c r="M37" s="1"/>
    </row>
    <row r="38" spans="1:13">
      <c r="A38" s="1">
        <v>34</v>
      </c>
      <c r="B38" s="1" t="s">
        <v>87</v>
      </c>
      <c r="C38" s="7" t="s">
        <v>88</v>
      </c>
      <c r="D38" s="3">
        <v>2250747186965</v>
      </c>
      <c r="E38" s="8"/>
      <c r="F38" s="1"/>
      <c r="G38" s="1"/>
      <c r="H38" s="1" t="s">
        <v>136</v>
      </c>
      <c r="I38" s="1" t="s">
        <v>149</v>
      </c>
      <c r="J38" s="1" t="s">
        <v>136</v>
      </c>
      <c r="K38" s="1" t="s">
        <v>154</v>
      </c>
      <c r="L38" s="1" t="s">
        <v>136</v>
      </c>
      <c r="M38" s="1"/>
    </row>
    <row r="39" spans="1:13">
      <c r="A39" s="1">
        <v>35</v>
      </c>
      <c r="B39" s="1" t="s">
        <v>90</v>
      </c>
      <c r="C39" s="7" t="s">
        <v>91</v>
      </c>
      <c r="D39" s="3">
        <v>2250757102682</v>
      </c>
      <c r="E39" s="8"/>
      <c r="F39" s="1"/>
      <c r="G39" s="1"/>
      <c r="H39" s="1" t="s">
        <v>138</v>
      </c>
      <c r="I39" s="1" t="s">
        <v>152</v>
      </c>
      <c r="J39" s="1" t="s">
        <v>138</v>
      </c>
      <c r="K39" s="1"/>
      <c r="L39" s="1" t="s">
        <v>138</v>
      </c>
      <c r="M39" s="1"/>
    </row>
    <row r="40" spans="1:13">
      <c r="A40" s="1">
        <v>36</v>
      </c>
      <c r="B40" s="1" t="s">
        <v>94</v>
      </c>
      <c r="C40" s="7" t="s">
        <v>92</v>
      </c>
      <c r="D40" s="3">
        <v>2250767486748</v>
      </c>
      <c r="E40" s="8"/>
      <c r="F40" s="1"/>
      <c r="G40" s="1"/>
      <c r="H40" s="1" t="s">
        <v>138</v>
      </c>
      <c r="I40" s="1" t="s">
        <v>152</v>
      </c>
      <c r="J40" s="1" t="s">
        <v>138</v>
      </c>
      <c r="K40" s="1"/>
      <c r="L40" s="1" t="s">
        <v>138</v>
      </c>
      <c r="M40" s="1"/>
    </row>
    <row r="41" spans="1:13">
      <c r="A41" s="1">
        <v>37</v>
      </c>
      <c r="B41" s="1" t="s">
        <v>100</v>
      </c>
      <c r="C41" s="7" t="s">
        <v>93</v>
      </c>
      <c r="D41" s="3">
        <v>2250779005712</v>
      </c>
      <c r="E41" s="8"/>
      <c r="F41" s="1"/>
      <c r="G41" s="1"/>
      <c r="H41" s="1" t="s">
        <v>138</v>
      </c>
      <c r="I41" s="1" t="s">
        <v>152</v>
      </c>
      <c r="J41" s="1" t="s">
        <v>138</v>
      </c>
      <c r="K41" s="1"/>
      <c r="L41" s="1" t="s">
        <v>138</v>
      </c>
      <c r="M41" s="1"/>
    </row>
    <row r="42" spans="1:13">
      <c r="A42" s="1">
        <v>38</v>
      </c>
      <c r="B42" s="1" t="s">
        <v>95</v>
      </c>
      <c r="C42" s="7" t="s">
        <v>96</v>
      </c>
      <c r="D42" s="3">
        <v>2250759840149</v>
      </c>
      <c r="E42" s="8"/>
      <c r="F42" s="1"/>
      <c r="G42" s="1"/>
      <c r="H42" s="1" t="s">
        <v>136</v>
      </c>
      <c r="I42" s="1" t="s">
        <v>154</v>
      </c>
      <c r="J42" s="1" t="s">
        <v>136</v>
      </c>
      <c r="K42" s="1" t="s">
        <v>151</v>
      </c>
      <c r="L42" s="1" t="s">
        <v>136</v>
      </c>
      <c r="M42" s="1"/>
    </row>
    <row r="43" spans="1:13">
      <c r="A43" s="1">
        <v>39</v>
      </c>
      <c r="B43" s="1" t="s">
        <v>42</v>
      </c>
      <c r="C43" s="7"/>
      <c r="D43" s="3">
        <v>2250709193369</v>
      </c>
      <c r="E43" s="8"/>
      <c r="F43" s="1"/>
      <c r="G43" s="1"/>
      <c r="H43" s="1" t="s">
        <v>136</v>
      </c>
      <c r="I43" s="1" t="s">
        <v>151</v>
      </c>
      <c r="J43" s="1" t="s">
        <v>136</v>
      </c>
      <c r="K43" s="1" t="s">
        <v>151</v>
      </c>
      <c r="L43" s="1" t="s">
        <v>137</v>
      </c>
      <c r="M43" s="1"/>
    </row>
    <row r="44" spans="1:13">
      <c r="A44" s="1">
        <v>40</v>
      </c>
      <c r="B44" s="1"/>
      <c r="C44" s="7" t="s">
        <v>101</v>
      </c>
      <c r="D44" s="3"/>
      <c r="E44" s="8"/>
      <c r="F44" s="1"/>
      <c r="G44" s="1"/>
      <c r="H44" s="1" t="s">
        <v>136</v>
      </c>
      <c r="I44" s="1" t="s">
        <v>154</v>
      </c>
      <c r="J44" s="1" t="s">
        <v>136</v>
      </c>
      <c r="K44" s="1" t="s">
        <v>154</v>
      </c>
      <c r="L44" s="1" t="s">
        <v>136</v>
      </c>
      <c r="M44" s="1"/>
    </row>
    <row r="45" spans="1:13">
      <c r="A45" s="1">
        <v>41</v>
      </c>
      <c r="B45" s="1" t="s">
        <v>105</v>
      </c>
      <c r="C45" s="7" t="s">
        <v>103</v>
      </c>
      <c r="D45" s="3">
        <v>2250101775707</v>
      </c>
      <c r="E45" s="8"/>
      <c r="F45" s="1"/>
      <c r="G45" s="1"/>
      <c r="H45" s="1" t="s">
        <v>136</v>
      </c>
      <c r="I45" s="1" t="s">
        <v>151</v>
      </c>
      <c r="J45" s="1" t="s">
        <v>136</v>
      </c>
      <c r="K45" s="1" t="s">
        <v>151</v>
      </c>
      <c r="L45" s="1" t="s">
        <v>137</v>
      </c>
      <c r="M45" s="1"/>
    </row>
    <row r="46" spans="1:13">
      <c r="A46" s="1">
        <v>42</v>
      </c>
      <c r="B46" s="1"/>
      <c r="C46" s="7" t="s">
        <v>106</v>
      </c>
      <c r="D46" s="3"/>
      <c r="E46" s="8"/>
      <c r="F46" s="1"/>
      <c r="G46" s="1"/>
      <c r="H46" s="1" t="s">
        <v>136</v>
      </c>
      <c r="I46" s="1" t="s">
        <v>151</v>
      </c>
      <c r="J46" s="1" t="s">
        <v>136</v>
      </c>
      <c r="K46" s="1" t="s">
        <v>151</v>
      </c>
      <c r="L46" s="1" t="s">
        <v>137</v>
      </c>
      <c r="M46" s="1"/>
    </row>
    <row r="47" spans="1:13">
      <c r="A47" s="1">
        <v>43</v>
      </c>
      <c r="B47" s="1"/>
      <c r="C47" s="7" t="s">
        <v>107</v>
      </c>
      <c r="D47" s="3">
        <v>2250507305833</v>
      </c>
      <c r="E47" s="8"/>
      <c r="F47" s="1"/>
      <c r="G47" s="1"/>
      <c r="H47" s="1" t="s">
        <v>136</v>
      </c>
      <c r="I47" s="1" t="s">
        <v>150</v>
      </c>
      <c r="J47" s="1" t="s">
        <v>136</v>
      </c>
      <c r="K47" s="1" t="s">
        <v>150</v>
      </c>
      <c r="L47" s="1" t="s">
        <v>137</v>
      </c>
      <c r="M47" s="1"/>
    </row>
    <row r="48" spans="1:13">
      <c r="A48" s="1">
        <v>44</v>
      </c>
      <c r="B48" s="1"/>
      <c r="C48" s="7" t="s">
        <v>109</v>
      </c>
      <c r="D48" s="3">
        <v>2250788893541</v>
      </c>
      <c r="E48" s="8"/>
      <c r="F48" s="1"/>
      <c r="G48" s="1"/>
      <c r="H48" s="1" t="s">
        <v>137</v>
      </c>
      <c r="I48" s="1"/>
      <c r="J48" s="1" t="s">
        <v>136</v>
      </c>
      <c r="K48" s="1" t="s">
        <v>151</v>
      </c>
      <c r="L48" s="1" t="s">
        <v>136</v>
      </c>
      <c r="M48" s="1"/>
    </row>
    <row r="49" spans="1:13">
      <c r="A49" s="1">
        <v>45</v>
      </c>
      <c r="B49" s="1"/>
      <c r="C49" s="7" t="s">
        <v>110</v>
      </c>
      <c r="D49" s="3">
        <v>2250757354449</v>
      </c>
      <c r="E49" s="8"/>
      <c r="F49" s="1"/>
      <c r="G49" s="1"/>
      <c r="H49" s="1" t="s">
        <v>136</v>
      </c>
      <c r="I49" s="1" t="s">
        <v>154</v>
      </c>
      <c r="J49" s="1" t="s">
        <v>136</v>
      </c>
      <c r="K49" s="1" t="s">
        <v>154</v>
      </c>
      <c r="L49" s="1" t="s">
        <v>136</v>
      </c>
      <c r="M49" s="1"/>
    </row>
    <row r="50" spans="1:13">
      <c r="A50" s="1">
        <v>46</v>
      </c>
      <c r="B50" s="1"/>
      <c r="C50" s="7" t="s">
        <v>111</v>
      </c>
      <c r="D50" s="3">
        <v>2250767008346</v>
      </c>
      <c r="E50" s="8"/>
      <c r="F50" s="1"/>
      <c r="G50" s="1"/>
      <c r="H50" s="1" t="s">
        <v>136</v>
      </c>
      <c r="I50" s="1" t="s">
        <v>154</v>
      </c>
      <c r="J50" s="1" t="s">
        <v>136</v>
      </c>
      <c r="K50" s="1" t="s">
        <v>154</v>
      </c>
      <c r="L50" s="1" t="s">
        <v>136</v>
      </c>
      <c r="M50" s="1"/>
    </row>
    <row r="51" spans="1:13">
      <c r="A51" s="1">
        <v>47</v>
      </c>
      <c r="B51" s="1" t="s">
        <v>113</v>
      </c>
      <c r="C51" s="7" t="s">
        <v>114</v>
      </c>
      <c r="D51" s="3">
        <v>2250140072250</v>
      </c>
      <c r="E51" s="8"/>
      <c r="F51" s="1"/>
      <c r="G51" s="1"/>
      <c r="H51" s="1" t="s">
        <v>136</v>
      </c>
      <c r="I51" s="1" t="s">
        <v>154</v>
      </c>
      <c r="J51" s="1" t="s">
        <v>136</v>
      </c>
      <c r="K51" s="1" t="s">
        <v>152</v>
      </c>
      <c r="L51" s="1" t="s">
        <v>136</v>
      </c>
      <c r="M51" s="1"/>
    </row>
    <row r="52" spans="1:13">
      <c r="A52" s="1">
        <v>48</v>
      </c>
      <c r="B52" s="1" t="s">
        <v>123</v>
      </c>
      <c r="C52" s="7" t="s">
        <v>115</v>
      </c>
      <c r="D52" s="3">
        <v>2250709520439</v>
      </c>
      <c r="E52" s="8"/>
      <c r="F52" s="1"/>
      <c r="G52" s="1"/>
      <c r="H52" s="1" t="s">
        <v>137</v>
      </c>
      <c r="I52" s="1"/>
      <c r="J52" s="1" t="s">
        <v>136</v>
      </c>
      <c r="K52" s="1" t="s">
        <v>154</v>
      </c>
      <c r="L52" s="1" t="s">
        <v>137</v>
      </c>
      <c r="M52" s="1"/>
    </row>
    <row r="53" spans="1:13">
      <c r="A53" s="1">
        <v>49</v>
      </c>
      <c r="B53" s="1"/>
      <c r="C53" s="7" t="s">
        <v>116</v>
      </c>
      <c r="D53" s="3">
        <v>2250705071561</v>
      </c>
      <c r="E53" s="8"/>
      <c r="F53" s="1"/>
      <c r="G53" s="1"/>
      <c r="H53" s="1" t="s">
        <v>136</v>
      </c>
      <c r="I53" s="1" t="s">
        <v>154</v>
      </c>
      <c r="J53" s="1" t="s">
        <v>136</v>
      </c>
      <c r="K53" s="1" t="s">
        <v>154</v>
      </c>
      <c r="L53" s="1" t="s">
        <v>136</v>
      </c>
      <c r="M53" s="1"/>
    </row>
    <row r="54" spans="1:13">
      <c r="A54" s="1">
        <v>50</v>
      </c>
      <c r="B54" s="1"/>
      <c r="C54" s="7" t="s">
        <v>125</v>
      </c>
      <c r="D54" s="4">
        <v>2250705864911</v>
      </c>
      <c r="E54" s="8"/>
      <c r="F54" s="1"/>
      <c r="G54" s="1"/>
      <c r="H54" s="1" t="s">
        <v>137</v>
      </c>
      <c r="I54" s="1"/>
      <c r="J54" s="1" t="s">
        <v>136</v>
      </c>
      <c r="K54" s="1" t="s">
        <v>154</v>
      </c>
      <c r="L54" s="1" t="s">
        <v>136</v>
      </c>
      <c r="M54" s="1"/>
    </row>
    <row r="55" spans="1:13">
      <c r="A55" s="1">
        <v>51</v>
      </c>
      <c r="B55" s="1" t="s">
        <v>127</v>
      </c>
      <c r="C55" s="7" t="s">
        <v>128</v>
      </c>
      <c r="D55" s="3">
        <v>2250713998079</v>
      </c>
      <c r="E55" s="8"/>
      <c r="F55" s="1"/>
      <c r="G55" s="1"/>
      <c r="H55" s="1" t="s">
        <v>136</v>
      </c>
      <c r="I55" s="1" t="s">
        <v>149</v>
      </c>
      <c r="J55" s="1" t="s">
        <v>136</v>
      </c>
      <c r="K55" s="1" t="s">
        <v>149</v>
      </c>
      <c r="L55" s="1" t="s">
        <v>136</v>
      </c>
      <c r="M55" s="1"/>
    </row>
    <row r="56" spans="1:13">
      <c r="A56" s="1">
        <v>52</v>
      </c>
      <c r="B56" s="1" t="s">
        <v>130</v>
      </c>
      <c r="C56" s="7" t="s">
        <v>131</v>
      </c>
      <c r="D56" s="3">
        <v>2250767322354</v>
      </c>
      <c r="E56" s="8"/>
      <c r="F56" s="1"/>
      <c r="G56" s="1"/>
      <c r="H56" s="1" t="s">
        <v>136</v>
      </c>
      <c r="I56" s="1" t="s">
        <v>154</v>
      </c>
      <c r="J56" s="1" t="s">
        <v>136</v>
      </c>
      <c r="K56" s="1" t="s">
        <v>154</v>
      </c>
      <c r="L56" s="1" t="s">
        <v>137</v>
      </c>
      <c r="M56" s="1"/>
    </row>
    <row r="57" spans="1:13">
      <c r="A57" s="1">
        <v>53</v>
      </c>
      <c r="B57" s="1" t="s">
        <v>132</v>
      </c>
      <c r="C57" s="7" t="s">
        <v>133</v>
      </c>
      <c r="D57" s="3">
        <v>2250749303420</v>
      </c>
      <c r="E57" s="8"/>
      <c r="F57" s="1"/>
      <c r="G57" s="1"/>
      <c r="H57" s="1" t="s">
        <v>136</v>
      </c>
      <c r="I57" s="1" t="s">
        <v>154</v>
      </c>
      <c r="J57" s="1" t="s">
        <v>136</v>
      </c>
      <c r="K57" s="1" t="s">
        <v>154</v>
      </c>
      <c r="L57" s="1" t="s">
        <v>136</v>
      </c>
      <c r="M57" s="1"/>
    </row>
    <row r="58" spans="1:13">
      <c r="A58" s="1">
        <v>54</v>
      </c>
      <c r="B58" s="1"/>
      <c r="C58" s="7" t="s">
        <v>135</v>
      </c>
      <c r="D58" s="3">
        <v>2250142727109</v>
      </c>
      <c r="E58" s="8"/>
      <c r="F58" s="1"/>
      <c r="G58" s="1"/>
      <c r="H58" s="1" t="s">
        <v>136</v>
      </c>
      <c r="I58" s="1" t="s">
        <v>154</v>
      </c>
      <c r="J58" s="1" t="s">
        <v>136</v>
      </c>
      <c r="K58" s="1" t="s">
        <v>154</v>
      </c>
      <c r="L58" s="1" t="s">
        <v>136</v>
      </c>
      <c r="M58" s="1"/>
    </row>
    <row r="59" spans="1:13">
      <c r="A59" s="1">
        <v>55</v>
      </c>
      <c r="B59" s="1"/>
      <c r="C59" s="7" t="s">
        <v>155</v>
      </c>
      <c r="D59" s="3">
        <v>2250747424318</v>
      </c>
      <c r="E59" s="8"/>
      <c r="F59" s="1"/>
      <c r="G59" s="1"/>
      <c r="H59" s="1" t="s">
        <v>136</v>
      </c>
      <c r="I59" s="1"/>
      <c r="J59" s="1" t="s">
        <v>136</v>
      </c>
      <c r="K59" s="1" t="s">
        <v>154</v>
      </c>
      <c r="L59" s="1" t="s">
        <v>137</v>
      </c>
      <c r="M59" s="1"/>
    </row>
    <row r="60" spans="1:13">
      <c r="A60" s="1">
        <v>56</v>
      </c>
      <c r="B60" s="1"/>
      <c r="C60" s="7" t="s">
        <v>156</v>
      </c>
      <c r="D60" s="3">
        <v>2250152275819</v>
      </c>
      <c r="E60" s="8"/>
      <c r="F60" s="1"/>
      <c r="G60" s="1"/>
      <c r="H60" s="1" t="s">
        <v>136</v>
      </c>
      <c r="I60" s="1"/>
      <c r="J60" s="1" t="s">
        <v>137</v>
      </c>
      <c r="K60" s="1"/>
      <c r="L60" s="1" t="s">
        <v>136</v>
      </c>
      <c r="M60" s="1"/>
    </row>
    <row r="61" spans="1:13">
      <c r="A61" s="1">
        <v>57</v>
      </c>
      <c r="B61" s="1"/>
      <c r="C61" s="7" t="s">
        <v>157</v>
      </c>
      <c r="D61" s="3">
        <v>2250758244460</v>
      </c>
      <c r="E61" s="8"/>
      <c r="F61" s="1"/>
      <c r="G61" s="1"/>
      <c r="H61" s="1" t="s">
        <v>136</v>
      </c>
      <c r="I61" s="1"/>
      <c r="J61" s="1" t="s">
        <v>136</v>
      </c>
      <c r="K61" s="1" t="s">
        <v>154</v>
      </c>
      <c r="L61" s="1" t="s">
        <v>136</v>
      </c>
      <c r="M61" s="1"/>
    </row>
    <row r="62" spans="1:13">
      <c r="A62" s="1">
        <v>58</v>
      </c>
      <c r="B62" s="1"/>
      <c r="C62" s="7" t="s">
        <v>158</v>
      </c>
      <c r="D62" s="3">
        <v>2250594876100</v>
      </c>
      <c r="E62" s="8"/>
      <c r="F62" s="1"/>
      <c r="G62" s="1"/>
      <c r="H62" s="1" t="s">
        <v>136</v>
      </c>
      <c r="I62" s="1"/>
      <c r="J62" s="1" t="s">
        <v>136</v>
      </c>
      <c r="K62" s="1" t="s">
        <v>154</v>
      </c>
      <c r="L62" s="1" t="s">
        <v>136</v>
      </c>
      <c r="M62" s="1"/>
    </row>
    <row r="63" spans="1:13">
      <c r="A63" s="1">
        <v>59</v>
      </c>
      <c r="B63" s="1" t="s">
        <v>160</v>
      </c>
      <c r="C63" s="7" t="s">
        <v>159</v>
      </c>
      <c r="D63" s="3">
        <v>2250507668347</v>
      </c>
      <c r="E63" s="8"/>
      <c r="F63" s="1"/>
      <c r="G63" s="1"/>
      <c r="H63" s="1" t="s">
        <v>136</v>
      </c>
      <c r="I63" s="1"/>
      <c r="J63" s="1" t="s">
        <v>136</v>
      </c>
      <c r="K63" s="1" t="s">
        <v>154</v>
      </c>
      <c r="L63" s="1" t="s">
        <v>136</v>
      </c>
      <c r="M63" s="1"/>
    </row>
    <row r="64" spans="1:13">
      <c r="A64" s="1">
        <v>60</v>
      </c>
      <c r="B64" s="1"/>
      <c r="C64" s="7" t="s">
        <v>161</v>
      </c>
      <c r="D64" s="3">
        <v>2250595321849</v>
      </c>
      <c r="E64" s="8"/>
      <c r="F64" s="1"/>
      <c r="G64" s="1"/>
      <c r="H64" s="1" t="s">
        <v>136</v>
      </c>
      <c r="I64" s="1"/>
      <c r="J64" s="1" t="s">
        <v>136</v>
      </c>
      <c r="K64" s="1" t="s">
        <v>154</v>
      </c>
      <c r="L64" s="1" t="s">
        <v>136</v>
      </c>
      <c r="M64" s="1"/>
    </row>
    <row r="65" spans="1:13">
      <c r="A65" s="1">
        <v>61</v>
      </c>
      <c r="B65" s="1" t="s">
        <v>162</v>
      </c>
      <c r="C65" s="1" t="s">
        <v>163</v>
      </c>
      <c r="D65" s="3">
        <v>2250798250548</v>
      </c>
      <c r="E65" s="8"/>
      <c r="F65" s="1"/>
      <c r="G65" s="1"/>
      <c r="H65" s="1"/>
      <c r="I65" s="1"/>
      <c r="J65" s="1" t="s">
        <v>137</v>
      </c>
      <c r="K65" s="1"/>
      <c r="L65" s="1" t="s">
        <v>136</v>
      </c>
      <c r="M65" s="1"/>
    </row>
    <row r="66" spans="1:13">
      <c r="A66" s="1">
        <v>62</v>
      </c>
      <c r="B66" s="1" t="s">
        <v>165</v>
      </c>
      <c r="C66" s="1" t="s">
        <v>166</v>
      </c>
      <c r="D66" s="3">
        <v>2250777235405</v>
      </c>
      <c r="E66" s="8"/>
      <c r="F66" s="1"/>
      <c r="G66" s="1"/>
      <c r="H66" s="1"/>
      <c r="I66" s="1"/>
      <c r="J66" s="1" t="s">
        <v>137</v>
      </c>
      <c r="K66" s="1"/>
      <c r="L66" s="1" t="s">
        <v>137</v>
      </c>
      <c r="M66" s="1"/>
    </row>
    <row r="67" spans="1:13">
      <c r="A67" s="1">
        <v>63</v>
      </c>
      <c r="B67" s="1"/>
      <c r="C67" s="1" t="s">
        <v>169</v>
      </c>
      <c r="D67" s="3">
        <v>2252575853889</v>
      </c>
      <c r="E67" s="8"/>
      <c r="F67" s="1"/>
      <c r="G67" s="1"/>
      <c r="H67" s="1"/>
      <c r="I67" s="1"/>
      <c r="J67" s="1"/>
      <c r="K67" s="1"/>
      <c r="L67" s="1" t="s">
        <v>137</v>
      </c>
      <c r="M67" s="1"/>
    </row>
    <row r="68" spans="1:13">
      <c r="A68" s="1">
        <v>64</v>
      </c>
      <c r="B68" s="1"/>
      <c r="C68" s="7"/>
      <c r="D68" s="1"/>
      <c r="E68" s="8"/>
      <c r="F68" s="1"/>
      <c r="G68" s="1"/>
      <c r="H68" s="1"/>
      <c r="I68" s="1"/>
      <c r="J68" s="1"/>
      <c r="K68" s="1"/>
      <c r="L68" s="1"/>
      <c r="M68" s="1"/>
    </row>
    <row r="69" spans="1:13">
      <c r="A69" s="1">
        <v>65</v>
      </c>
      <c r="B69" s="1"/>
      <c r="C69" s="7"/>
      <c r="D69" s="1"/>
      <c r="E69" s="8"/>
      <c r="F69" s="1"/>
      <c r="G69" s="1"/>
      <c r="H69" s="1"/>
      <c r="I69" s="1"/>
      <c r="J69" s="1"/>
      <c r="K69" s="1"/>
      <c r="L69" s="1"/>
      <c r="M69" s="1"/>
    </row>
    <row r="70" spans="1:13">
      <c r="A70" s="1">
        <v>66</v>
      </c>
      <c r="B70" s="1"/>
      <c r="C70" s="7"/>
      <c r="D70" s="1"/>
      <c r="E70" s="8"/>
      <c r="F70" s="1"/>
      <c r="G70" s="1"/>
      <c r="H70" s="1"/>
      <c r="I70" s="1"/>
      <c r="J70" s="1"/>
      <c r="K70" s="1"/>
      <c r="L70" s="1"/>
      <c r="M70" s="1"/>
    </row>
    <row r="71" spans="1:13">
      <c r="A71" s="1">
        <v>67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1"/>
    </row>
    <row r="72" spans="1:13">
      <c r="A72" s="1">
        <v>68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1"/>
    </row>
    <row r="73" spans="1:13">
      <c r="A73" s="1">
        <v>69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1"/>
    </row>
    <row r="74" spans="1:13">
      <c r="A74" s="1">
        <v>70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1"/>
    </row>
    <row r="75" spans="1:13">
      <c r="A75" s="1">
        <v>71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1"/>
    </row>
    <row r="76" spans="1:13">
      <c r="A76" s="1">
        <v>72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1"/>
    </row>
    <row r="77" spans="1:13">
      <c r="A77" s="1">
        <v>73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1"/>
    </row>
    <row r="78" spans="1:13">
      <c r="A78" s="1">
        <v>74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1"/>
    </row>
    <row r="79" spans="1:13">
      <c r="A79" s="1">
        <v>75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1"/>
    </row>
    <row r="80" spans="1:13">
      <c r="A80" s="1">
        <v>76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1"/>
    </row>
    <row r="81" spans="1:13">
      <c r="A81" s="1">
        <v>80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1"/>
    </row>
    <row r="82" spans="1:13">
      <c r="A82" s="1">
        <v>81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1"/>
    </row>
    <row r="83" spans="1:13">
      <c r="A83" s="1">
        <v>82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1"/>
    </row>
    <row r="84" spans="1:13">
      <c r="A84" s="1">
        <v>83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1"/>
    </row>
    <row r="85" spans="1:13">
      <c r="A85" s="1">
        <v>84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1"/>
    </row>
    <row r="86" spans="1:13">
      <c r="A86" s="1">
        <v>85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1"/>
    </row>
    <row r="87" spans="1:13">
      <c r="A87" s="1">
        <v>86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1"/>
    </row>
    <row r="88" spans="1:13">
      <c r="A88" s="1">
        <v>87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1"/>
    </row>
    <row r="89" spans="1:13">
      <c r="A89" s="1">
        <v>88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1"/>
    </row>
    <row r="90" spans="1:13">
      <c r="A90" s="1">
        <v>89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1"/>
    </row>
    <row r="91" spans="1:13">
      <c r="A91" s="1">
        <v>90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1"/>
    </row>
    <row r="92" spans="1:13">
      <c r="A92" s="1">
        <v>91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1"/>
    </row>
    <row r="93" spans="1:13">
      <c r="A93" s="1">
        <v>92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1"/>
    </row>
    <row r="94" spans="1:13">
      <c r="A94" s="1">
        <v>93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1"/>
    </row>
    <row r="95" spans="1:13">
      <c r="A95" s="1">
        <v>94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1"/>
    </row>
    <row r="96" spans="1:13">
      <c r="A96" s="1">
        <v>95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1"/>
    </row>
    <row r="97" spans="1:13">
      <c r="A97" s="1">
        <v>96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1"/>
    </row>
    <row r="98" spans="1:13">
      <c r="A98" s="1">
        <v>97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1"/>
    </row>
    <row r="99" spans="1:13">
      <c r="A99" s="1">
        <v>98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1"/>
    </row>
    <row r="100" spans="1:13">
      <c r="A100" s="1">
        <v>99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1"/>
    </row>
    <row r="101" spans="1:13">
      <c r="A101" s="1">
        <v>100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1"/>
    </row>
    <row r="102" spans="1:13">
      <c r="A102" s="1">
        <v>101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1"/>
    </row>
    <row r="103" spans="1:13">
      <c r="A103" s="1">
        <v>102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1"/>
    </row>
    <row r="104" spans="1:13">
      <c r="A104" s="1">
        <v>103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1"/>
    </row>
    <row r="105" spans="1:13">
      <c r="A105" s="1">
        <v>104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1"/>
    </row>
    <row r="106" spans="1:13">
      <c r="A106" s="1">
        <v>105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1"/>
    </row>
    <row r="107" spans="1:13">
      <c r="A107" s="1">
        <v>106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1"/>
    </row>
    <row r="108" spans="1:13">
      <c r="A108" s="1">
        <v>107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1"/>
    </row>
    <row r="109" spans="1:13">
      <c r="A109" s="1">
        <v>108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1"/>
    </row>
    <row r="110" spans="1:13">
      <c r="A110" s="1">
        <v>109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1"/>
    </row>
    <row r="111" spans="1:13">
      <c r="A111" s="1">
        <v>110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1"/>
    </row>
    <row r="112" spans="1:13">
      <c r="A112" s="1">
        <v>111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1"/>
    </row>
    <row r="113" spans="1:13">
      <c r="A113" s="1">
        <v>112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1"/>
    </row>
    <row r="114" spans="1:13">
      <c r="A114" s="1">
        <v>113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1"/>
    </row>
    <row r="115" spans="1:13">
      <c r="A115" s="1">
        <v>114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1"/>
    </row>
    <row r="116" spans="1:13">
      <c r="A116" s="1">
        <v>115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1"/>
    </row>
    <row r="117" spans="1:13">
      <c r="A117" s="1">
        <v>116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1"/>
    </row>
    <row r="118" spans="1:13">
      <c r="A118" s="1">
        <v>117</v>
      </c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1"/>
    </row>
    <row r="119" spans="1:13">
      <c r="A119" s="1">
        <v>118</v>
      </c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1"/>
    </row>
    <row r="120" spans="1:13">
      <c r="A120" s="1">
        <v>119</v>
      </c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1"/>
    </row>
    <row r="121" spans="1:13">
      <c r="A121" s="1">
        <v>120</v>
      </c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1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1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1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1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1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1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1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1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1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1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1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1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1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1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1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1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1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1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1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1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1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1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1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1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1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1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1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1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1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1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1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1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1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1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1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1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1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1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1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1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1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1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1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1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1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1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1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1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1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1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1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1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1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1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1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1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1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1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1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1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1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1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1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1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1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1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1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1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1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1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1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1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1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1"/>
    </row>
    <row r="195" spans="1:13">
      <c r="A195" s="1"/>
      <c r="B195" s="1"/>
      <c r="C195" s="7"/>
      <c r="D195" s="1"/>
      <c r="E195" s="8"/>
      <c r="F195" s="1"/>
      <c r="G195" s="1"/>
      <c r="H195" s="1"/>
      <c r="I195" s="1"/>
      <c r="J195" s="1"/>
      <c r="K195" s="1"/>
      <c r="L195" s="1"/>
      <c r="M195" s="1"/>
    </row>
    <row r="196" spans="1:13">
      <c r="A196" s="1"/>
      <c r="B196" s="1"/>
      <c r="C196" s="7"/>
      <c r="D196" s="1"/>
      <c r="E196" s="8"/>
      <c r="F196" s="1"/>
      <c r="G196" s="1"/>
      <c r="H196" s="1"/>
      <c r="I196" s="1"/>
      <c r="J196" s="1"/>
      <c r="K196" s="1"/>
      <c r="L196" s="1"/>
      <c r="M196" s="1"/>
    </row>
    <row r="197" spans="1:13">
      <c r="A197" s="1"/>
      <c r="B197" s="1"/>
      <c r="C197" s="7"/>
      <c r="D197" s="1"/>
      <c r="E197" s="8"/>
      <c r="F197" s="1"/>
      <c r="G197" s="1"/>
      <c r="H197" s="1"/>
      <c r="I197" s="1"/>
      <c r="J197" s="1"/>
      <c r="K197" s="1"/>
      <c r="L197" s="1"/>
      <c r="M197" s="1"/>
    </row>
    <row r="198" spans="1:13">
      <c r="A198" s="1"/>
      <c r="B198" s="1"/>
      <c r="C198" s="7"/>
      <c r="D198" s="1"/>
      <c r="E198" s="8"/>
      <c r="F198" s="1"/>
      <c r="G198" s="1"/>
      <c r="H198" s="1"/>
      <c r="I198" s="1"/>
      <c r="J198" s="1"/>
      <c r="K198" s="1"/>
      <c r="L198" s="1"/>
      <c r="M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</sheetData>
  <mergeCells count="12">
    <mergeCell ref="S5:T5"/>
    <mergeCell ref="V5:W5"/>
    <mergeCell ref="F2:M2"/>
    <mergeCell ref="Q12:R12"/>
    <mergeCell ref="Q13:R13"/>
    <mergeCell ref="O12:P12"/>
    <mergeCell ref="P5:Q5"/>
    <mergeCell ref="Q14:R14"/>
    <mergeCell ref="Q15:R15"/>
    <mergeCell ref="O13:P13"/>
    <mergeCell ref="O14:P14"/>
    <mergeCell ref="O15:P15"/>
  </mergeCells>
  <conditionalFormatting sqref="P5:Q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{E2670155-4A6A-462C-9199-876B7C260810}</x14:id>
        </ext>
      </extLst>
    </cfRule>
  </conditionalFormatting>
  <conditionalFormatting sqref="S5:T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{867115C8-4CA0-49A9-BA3B-138F8AA9DAE2}</x14:id>
        </ext>
      </extLst>
    </cfRule>
  </conditionalFormatting>
  <conditionalFormatting sqref="V5:W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{E9286CDC-12C6-4F99-A964-4331DC0259C8}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70155-4A6A-462C-9199-876B7C260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P5:Q8</xm:sqref>
        </x14:conditionalFormatting>
        <x14:conditionalFormatting xmlns:xm="http://schemas.microsoft.com/office/excel/2006/main">
          <x14:cfRule type="dataBar" id="{867115C8-4CA0-49A9-BA3B-138F8AA9DA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S5:T8</xm:sqref>
        </x14:conditionalFormatting>
        <x14:conditionalFormatting xmlns:xm="http://schemas.microsoft.com/office/excel/2006/main">
          <x14:cfRule type="dataBar" id="{E9286CDC-12C6-4F99-A964-4331DC0259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388"/>
  <sheetViews>
    <sheetView topLeftCell="O7" zoomScale="99" workbookViewId="0">
      <selection activeCell="A3" sqref="A1:XFD1048576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44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20.5" style="1" customWidth="1"/>
    <col min="15" max="15" width="20" style="1" customWidth="1"/>
    <col min="17" max="17" width="14.875" bestFit="1" customWidth="1"/>
    <col min="20" max="20" width="21.75" customWidth="1"/>
    <col min="21" max="21" width="9.25" customWidth="1"/>
    <col min="23" max="23" width="15.25" bestFit="1" customWidth="1"/>
    <col min="26" max="26" width="15.25" bestFit="1" customWidth="1"/>
    <col min="29" max="29" width="15.25" bestFit="1" customWidth="1"/>
  </cols>
  <sheetData>
    <row r="1" spans="1:30" ht="18">
      <c r="A1" s="9"/>
      <c r="N1"/>
      <c r="O1"/>
    </row>
    <row r="2" spans="1:30" ht="15">
      <c r="F2" s="23" t="s">
        <v>184</v>
      </c>
      <c r="G2" s="24"/>
      <c r="H2" s="24"/>
      <c r="I2" s="24"/>
      <c r="J2" s="24"/>
      <c r="K2" s="24"/>
      <c r="L2" s="24"/>
      <c r="M2" s="24"/>
      <c r="N2" s="24"/>
      <c r="O2" s="25"/>
    </row>
    <row r="3" spans="1:30" ht="15">
      <c r="F3" s="5" t="s">
        <v>181</v>
      </c>
      <c r="G3" s="10"/>
      <c r="H3" s="6" t="s">
        <v>182</v>
      </c>
      <c r="I3" s="10"/>
      <c r="J3" s="6" t="s">
        <v>183</v>
      </c>
      <c r="K3" s="10"/>
      <c r="L3" s="6" t="s">
        <v>185</v>
      </c>
      <c r="M3" s="15"/>
      <c r="N3" s="17" t="s">
        <v>186</v>
      </c>
      <c r="O3" s="8"/>
    </row>
    <row r="4" spans="1:30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108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16" t="s">
        <v>179</v>
      </c>
      <c r="O4" s="16" t="s">
        <v>180</v>
      </c>
      <c r="P4" s="27"/>
      <c r="Q4" s="28"/>
      <c r="R4" s="27"/>
      <c r="S4" s="28"/>
      <c r="T4" s="27"/>
      <c r="U4" s="28"/>
      <c r="V4" s="27"/>
      <c r="W4" s="28"/>
      <c r="X4" s="27"/>
      <c r="Y4" s="28"/>
      <c r="Z4" s="27"/>
      <c r="AA4" s="28"/>
    </row>
    <row r="5" spans="1:30">
      <c r="A5" s="1">
        <v>1</v>
      </c>
      <c r="B5" s="1" t="s">
        <v>17</v>
      </c>
      <c r="C5" s="7" t="s">
        <v>18</v>
      </c>
      <c r="D5" s="3">
        <v>2250708740154</v>
      </c>
      <c r="E5" s="8" t="s">
        <v>143</v>
      </c>
      <c r="F5" s="1" t="s">
        <v>136</v>
      </c>
      <c r="G5" s="1"/>
      <c r="H5" s="1" t="s">
        <v>136</v>
      </c>
      <c r="I5" s="1"/>
      <c r="J5" s="1" t="s">
        <v>136</v>
      </c>
      <c r="K5" s="1"/>
      <c r="L5" s="1" t="s">
        <v>136</v>
      </c>
      <c r="M5" s="7"/>
      <c r="N5" s="1" t="s">
        <v>136</v>
      </c>
    </row>
    <row r="6" spans="1:30">
      <c r="A6" s="1">
        <v>2</v>
      </c>
      <c r="B6" s="1" t="s">
        <v>23</v>
      </c>
      <c r="C6" s="7" t="s">
        <v>24</v>
      </c>
      <c r="D6" s="3">
        <v>2250709661689</v>
      </c>
      <c r="E6" s="8" t="s">
        <v>144</v>
      </c>
      <c r="F6" s="1" t="s">
        <v>137</v>
      </c>
      <c r="G6" s="1"/>
      <c r="H6" s="1" t="s">
        <v>137</v>
      </c>
      <c r="I6" s="1"/>
      <c r="J6" s="1" t="s">
        <v>137</v>
      </c>
      <c r="K6" s="1"/>
      <c r="L6" s="1" t="s">
        <v>136</v>
      </c>
      <c r="M6" s="7"/>
      <c r="N6" s="1" t="s">
        <v>137</v>
      </c>
    </row>
    <row r="7" spans="1:30">
      <c r="A7" s="1">
        <v>3</v>
      </c>
      <c r="B7" s="1" t="s">
        <v>26</v>
      </c>
      <c r="C7" s="7" t="s">
        <v>27</v>
      </c>
      <c r="D7" s="3">
        <v>2250748441347</v>
      </c>
      <c r="E7" s="8" t="s">
        <v>144</v>
      </c>
      <c r="F7" s="1" t="s">
        <v>137</v>
      </c>
      <c r="G7" s="1"/>
      <c r="H7" s="1" t="s">
        <v>137</v>
      </c>
      <c r="I7" s="1"/>
      <c r="J7" s="1" t="s">
        <v>137</v>
      </c>
      <c r="K7" s="1"/>
      <c r="L7" s="1" t="s">
        <v>137</v>
      </c>
      <c r="M7" s="7"/>
      <c r="N7" s="1" t="s">
        <v>137</v>
      </c>
      <c r="Q7" s="22" t="s">
        <v>190</v>
      </c>
      <c r="R7" s="22"/>
      <c r="T7" s="22" t="s">
        <v>192</v>
      </c>
      <c r="U7" s="22"/>
      <c r="W7" s="22" t="s">
        <v>193</v>
      </c>
      <c r="X7" s="22"/>
      <c r="Z7" s="22" t="s">
        <v>194</v>
      </c>
      <c r="AA7" s="22"/>
      <c r="AC7" s="22" t="s">
        <v>195</v>
      </c>
      <c r="AD7" s="22"/>
    </row>
    <row r="8" spans="1:30">
      <c r="A8" s="1">
        <v>4</v>
      </c>
      <c r="B8" s="1" t="s">
        <v>30</v>
      </c>
      <c r="C8" s="7" t="s">
        <v>31</v>
      </c>
      <c r="D8" s="3">
        <v>2250747851053</v>
      </c>
      <c r="E8" s="8" t="s">
        <v>145</v>
      </c>
      <c r="F8" s="1" t="s">
        <v>136</v>
      </c>
      <c r="G8" s="1"/>
      <c r="H8" s="1" t="s">
        <v>136</v>
      </c>
      <c r="I8" s="1"/>
      <c r="J8" s="1" t="s">
        <v>136</v>
      </c>
      <c r="K8" s="1"/>
      <c r="L8" s="1" t="s">
        <v>136</v>
      </c>
      <c r="M8" s="7"/>
      <c r="N8" s="1" t="s">
        <v>136</v>
      </c>
      <c r="Q8" s="14" t="s">
        <v>173</v>
      </c>
      <c r="R8" s="12">
        <f>COUNTIF(F:F,"P")</f>
        <v>27</v>
      </c>
      <c r="T8" s="14" t="s">
        <v>173</v>
      </c>
      <c r="U8" s="12">
        <f>COUNTIF(H:H,"P")</f>
        <v>21</v>
      </c>
      <c r="W8" s="14" t="s">
        <v>173</v>
      </c>
      <c r="X8" s="12">
        <f>COUNTIF(J:J,"P")</f>
        <v>21</v>
      </c>
      <c r="Z8" s="14" t="s">
        <v>173</v>
      </c>
      <c r="AA8" s="12">
        <f>COUNTIF(L:L,"P")</f>
        <v>17</v>
      </c>
      <c r="AC8" s="14" t="s">
        <v>173</v>
      </c>
      <c r="AD8" s="12">
        <f>COUNTIF(N:N,"P")</f>
        <v>27</v>
      </c>
    </row>
    <row r="9" spans="1:30">
      <c r="A9" s="1">
        <v>5</v>
      </c>
      <c r="B9" s="1" t="s">
        <v>32</v>
      </c>
      <c r="C9" s="7" t="s">
        <v>33</v>
      </c>
      <c r="D9" s="3">
        <v>2250564852380</v>
      </c>
      <c r="E9" s="8"/>
      <c r="F9" s="1" t="s">
        <v>136</v>
      </c>
      <c r="G9" s="1" t="s">
        <v>187</v>
      </c>
      <c r="H9" s="1" t="s">
        <v>137</v>
      </c>
      <c r="I9" s="1"/>
      <c r="J9" s="1" t="s">
        <v>137</v>
      </c>
      <c r="K9" s="1"/>
      <c r="L9" s="1" t="s">
        <v>137</v>
      </c>
      <c r="M9" s="7"/>
      <c r="N9" s="1" t="s">
        <v>137</v>
      </c>
      <c r="Q9" s="14" t="s">
        <v>171</v>
      </c>
      <c r="R9" s="12">
        <f>COUNTIF(F:F,"A")</f>
        <v>32</v>
      </c>
      <c r="T9" s="14" t="s">
        <v>171</v>
      </c>
      <c r="U9" s="12">
        <f>COUNTIF(H:H,"A")</f>
        <v>37</v>
      </c>
      <c r="W9" s="14" t="s">
        <v>171</v>
      </c>
      <c r="X9" s="12">
        <f>COUNTIF(J:J,"A")</f>
        <v>16</v>
      </c>
      <c r="Z9" s="14" t="s">
        <v>171</v>
      </c>
      <c r="AA9" s="12">
        <f>COUNTIF(L:L,"A")</f>
        <v>20</v>
      </c>
      <c r="AC9" s="14" t="s">
        <v>171</v>
      </c>
      <c r="AD9" s="12">
        <f>COUNTIF(N:N,"A")</f>
        <v>31</v>
      </c>
    </row>
    <row r="10" spans="1:30">
      <c r="A10" s="1">
        <v>6</v>
      </c>
      <c r="B10" s="1" t="s">
        <v>35</v>
      </c>
      <c r="C10" s="7" t="s">
        <v>36</v>
      </c>
      <c r="D10" s="3">
        <v>2250759494605</v>
      </c>
      <c r="E10" s="8"/>
      <c r="F10" s="1" t="s">
        <v>136</v>
      </c>
      <c r="G10" s="1" t="s">
        <v>187</v>
      </c>
      <c r="H10" s="1" t="s">
        <v>137</v>
      </c>
      <c r="I10" s="1"/>
      <c r="J10" s="1" t="s">
        <v>137</v>
      </c>
      <c r="K10" s="1"/>
      <c r="L10" s="1" t="s">
        <v>137</v>
      </c>
      <c r="M10" s="7"/>
      <c r="N10" s="1" t="s">
        <v>137</v>
      </c>
      <c r="Q10" s="14" t="s">
        <v>172</v>
      </c>
      <c r="R10" s="13">
        <f>R9/(R9+R8)</f>
        <v>0.5423728813559322</v>
      </c>
      <c r="T10" s="14" t="s">
        <v>174</v>
      </c>
      <c r="U10" s="13">
        <f>U9/(U9+U8)</f>
        <v>0.63793103448275867</v>
      </c>
      <c r="W10" s="14" t="s">
        <v>174</v>
      </c>
      <c r="X10" s="13">
        <f>X9/(X9+X8)</f>
        <v>0.43243243243243246</v>
      </c>
      <c r="Z10" s="14" t="s">
        <v>174</v>
      </c>
      <c r="AA10" s="13">
        <f>AA9/(AA9+AA8)</f>
        <v>0.54054054054054057</v>
      </c>
      <c r="AC10" s="14" t="s">
        <v>174</v>
      </c>
      <c r="AD10" s="13">
        <f>AD9/(AD9+AD8)</f>
        <v>0.53448275862068961</v>
      </c>
    </row>
    <row r="11" spans="1:30">
      <c r="A11" s="1">
        <v>7</v>
      </c>
      <c r="B11" s="1" t="s">
        <v>40</v>
      </c>
      <c r="C11" s="7" t="s">
        <v>41</v>
      </c>
      <c r="D11" s="3">
        <v>2250759472336</v>
      </c>
      <c r="E11" s="8" t="s">
        <v>146</v>
      </c>
      <c r="F11" s="1" t="s">
        <v>137</v>
      </c>
      <c r="G11" s="1"/>
      <c r="H11" s="1" t="s">
        <v>137</v>
      </c>
      <c r="I11" s="1"/>
      <c r="J11" s="1" t="s">
        <v>137</v>
      </c>
      <c r="K11" s="1"/>
      <c r="L11" s="1" t="s">
        <v>137</v>
      </c>
      <c r="M11" s="7"/>
      <c r="N11" s="1" t="s">
        <v>137</v>
      </c>
    </row>
    <row r="12" spans="1:30">
      <c r="A12" s="1">
        <v>8</v>
      </c>
      <c r="B12" s="1" t="s">
        <v>42</v>
      </c>
      <c r="C12" s="7" t="s">
        <v>43</v>
      </c>
      <c r="D12" s="3">
        <v>2250703382671</v>
      </c>
      <c r="E12" s="8" t="s">
        <v>144</v>
      </c>
      <c r="F12" s="1" t="s">
        <v>136</v>
      </c>
      <c r="G12" s="1" t="s">
        <v>188</v>
      </c>
      <c r="H12" s="1" t="s">
        <v>137</v>
      </c>
      <c r="I12" s="1"/>
      <c r="J12" s="1" t="s">
        <v>137</v>
      </c>
      <c r="K12" s="1"/>
      <c r="L12" s="1" t="s">
        <v>137</v>
      </c>
      <c r="M12" s="7"/>
      <c r="N12" s="1" t="s">
        <v>137</v>
      </c>
    </row>
    <row r="13" spans="1:30">
      <c r="A13" s="1">
        <v>9</v>
      </c>
      <c r="B13" s="1" t="s">
        <v>44</v>
      </c>
      <c r="C13" s="7" t="s">
        <v>45</v>
      </c>
      <c r="D13" s="3">
        <v>2250713934533</v>
      </c>
      <c r="E13" s="8" t="s">
        <v>146</v>
      </c>
      <c r="F13" s="1" t="s">
        <v>137</v>
      </c>
      <c r="G13" s="1"/>
      <c r="H13" s="1" t="s">
        <v>137</v>
      </c>
      <c r="I13" s="1"/>
      <c r="J13" s="1" t="s">
        <v>137</v>
      </c>
      <c r="K13" s="1"/>
      <c r="L13" s="1" t="s">
        <v>137</v>
      </c>
      <c r="M13" s="7"/>
      <c r="N13" s="1" t="s">
        <v>137</v>
      </c>
    </row>
    <row r="14" spans="1:30" ht="15">
      <c r="A14" s="1">
        <v>10</v>
      </c>
      <c r="B14" s="1" t="s">
        <v>47</v>
      </c>
      <c r="C14" s="7" t="s">
        <v>48</v>
      </c>
      <c r="D14" s="3">
        <v>2250760631164</v>
      </c>
      <c r="E14" s="8" t="s">
        <v>146</v>
      </c>
      <c r="F14" s="1" t="s">
        <v>136</v>
      </c>
      <c r="G14" s="1" t="s">
        <v>189</v>
      </c>
      <c r="H14" s="1" t="s">
        <v>137</v>
      </c>
      <c r="I14" s="1"/>
      <c r="J14" s="1" t="s">
        <v>136</v>
      </c>
      <c r="K14" s="1"/>
      <c r="L14" s="1" t="s">
        <v>136</v>
      </c>
      <c r="M14" s="7"/>
      <c r="N14" s="1" t="s">
        <v>137</v>
      </c>
      <c r="Q14" s="26"/>
      <c r="R14" s="26"/>
      <c r="S14" s="21" t="s">
        <v>178</v>
      </c>
      <c r="T14" s="21"/>
    </row>
    <row r="15" spans="1:30" ht="15">
      <c r="A15" s="1">
        <v>11</v>
      </c>
      <c r="B15" s="1" t="s">
        <v>50</v>
      </c>
      <c r="C15" s="7" t="s">
        <v>51</v>
      </c>
      <c r="D15" s="3">
        <v>2250759194175</v>
      </c>
      <c r="E15" s="8" t="s">
        <v>146</v>
      </c>
      <c r="F15" s="1" t="s">
        <v>137</v>
      </c>
      <c r="G15" s="1"/>
      <c r="H15" s="1" t="s">
        <v>136</v>
      </c>
      <c r="I15" s="1"/>
      <c r="J15" s="1" t="s">
        <v>137</v>
      </c>
      <c r="K15" s="1"/>
      <c r="L15" s="1" t="s">
        <v>136</v>
      </c>
      <c r="M15" s="7"/>
      <c r="N15" s="1" t="s">
        <v>137</v>
      </c>
      <c r="Q15" s="21" t="s">
        <v>190</v>
      </c>
      <c r="R15" s="21"/>
      <c r="S15" s="20">
        <f>R10</f>
        <v>0.5423728813559322</v>
      </c>
      <c r="T15" s="20"/>
    </row>
    <row r="16" spans="1:30" ht="15">
      <c r="A16" s="1">
        <v>12</v>
      </c>
      <c r="B16" s="1" t="s">
        <v>32</v>
      </c>
      <c r="C16" s="7" t="s">
        <v>52</v>
      </c>
      <c r="D16" s="3">
        <v>2250712523365</v>
      </c>
      <c r="E16" s="8" t="s">
        <v>146</v>
      </c>
      <c r="F16" s="1" t="s">
        <v>137</v>
      </c>
      <c r="G16" s="1"/>
      <c r="H16" s="1" t="s">
        <v>137</v>
      </c>
      <c r="I16" s="1"/>
      <c r="J16" s="1" t="s">
        <v>137</v>
      </c>
      <c r="K16" s="1"/>
      <c r="L16" s="1" t="s">
        <v>137</v>
      </c>
      <c r="M16" s="7"/>
      <c r="N16" s="1" t="s">
        <v>137</v>
      </c>
      <c r="Q16" s="21" t="s">
        <v>192</v>
      </c>
      <c r="R16" s="21"/>
      <c r="S16" s="20">
        <f>U10</f>
        <v>0.63793103448275867</v>
      </c>
      <c r="T16" s="20"/>
    </row>
    <row r="17" spans="1:28" ht="15">
      <c r="A17" s="1">
        <v>13</v>
      </c>
      <c r="B17" s="1" t="s">
        <v>32</v>
      </c>
      <c r="C17" s="7" t="s">
        <v>53</v>
      </c>
      <c r="D17" s="3">
        <v>2250748055480</v>
      </c>
      <c r="E17" s="8" t="s">
        <v>146</v>
      </c>
      <c r="F17" s="1" t="s">
        <v>137</v>
      </c>
      <c r="G17" s="1"/>
      <c r="H17" s="1" t="s">
        <v>137</v>
      </c>
      <c r="I17" s="1"/>
      <c r="J17" s="1" t="s">
        <v>137</v>
      </c>
      <c r="K17" s="1"/>
      <c r="L17" s="1" t="s">
        <v>137</v>
      </c>
      <c r="M17" s="7"/>
      <c r="N17" s="1" t="s">
        <v>137</v>
      </c>
      <c r="Q17" s="21" t="s">
        <v>193</v>
      </c>
      <c r="R17" s="21"/>
      <c r="S17" s="20">
        <f>X10</f>
        <v>0.43243243243243246</v>
      </c>
      <c r="T17" s="20"/>
    </row>
    <row r="18" spans="1:28" ht="15">
      <c r="A18" s="1">
        <v>14</v>
      </c>
      <c r="B18" s="1" t="s">
        <v>32</v>
      </c>
      <c r="C18" s="7" t="s">
        <v>54</v>
      </c>
      <c r="D18" s="3">
        <v>2250777609361</v>
      </c>
      <c r="E18" s="8" t="s">
        <v>146</v>
      </c>
      <c r="F18" s="1" t="s">
        <v>137</v>
      </c>
      <c r="G18" s="1"/>
      <c r="H18" s="1" t="s">
        <v>137</v>
      </c>
      <c r="I18" s="1"/>
      <c r="J18" s="1" t="s">
        <v>137</v>
      </c>
      <c r="K18" s="1"/>
      <c r="L18" s="1" t="s">
        <v>137</v>
      </c>
      <c r="M18" s="7"/>
      <c r="N18" s="1" t="s">
        <v>137</v>
      </c>
      <c r="Q18" s="21" t="s">
        <v>194</v>
      </c>
      <c r="R18" s="21"/>
      <c r="S18" s="20">
        <f>AA10</f>
        <v>0.54054054054054057</v>
      </c>
      <c r="T18" s="21"/>
    </row>
    <row r="19" spans="1:28" ht="15">
      <c r="A19" s="1">
        <v>15</v>
      </c>
      <c r="B19" s="1" t="s">
        <v>44</v>
      </c>
      <c r="C19" s="7" t="s">
        <v>55</v>
      </c>
      <c r="D19" s="3">
        <v>2250714205478</v>
      </c>
      <c r="E19" s="8" t="s">
        <v>147</v>
      </c>
      <c r="F19" s="1" t="s">
        <v>137</v>
      </c>
      <c r="G19" s="1"/>
      <c r="H19" s="1" t="s">
        <v>137</v>
      </c>
      <c r="I19" s="1"/>
      <c r="J19" s="1" t="s">
        <v>136</v>
      </c>
      <c r="K19" s="1"/>
      <c r="L19" s="1" t="s">
        <v>136</v>
      </c>
      <c r="M19" s="7" t="s">
        <v>188</v>
      </c>
      <c r="N19" s="1" t="s">
        <v>137</v>
      </c>
      <c r="Q19" s="21" t="s">
        <v>195</v>
      </c>
      <c r="R19" s="21"/>
      <c r="S19" s="20">
        <f>AD10</f>
        <v>0.53448275862068961</v>
      </c>
      <c r="T19" s="21"/>
    </row>
    <row r="20" spans="1:28">
      <c r="A20" s="1">
        <v>16</v>
      </c>
      <c r="B20" s="1" t="s">
        <v>57</v>
      </c>
      <c r="C20" s="7" t="s">
        <v>56</v>
      </c>
      <c r="D20" s="3">
        <v>2250714038262</v>
      </c>
      <c r="E20" s="8" t="s">
        <v>147</v>
      </c>
      <c r="F20" s="1" t="s">
        <v>136</v>
      </c>
      <c r="G20" s="1"/>
      <c r="H20" s="1" t="s">
        <v>137</v>
      </c>
      <c r="I20" s="1"/>
      <c r="J20" s="1" t="s">
        <v>136</v>
      </c>
      <c r="K20" s="1"/>
      <c r="L20" s="1" t="s">
        <v>137</v>
      </c>
      <c r="M20" s="7"/>
      <c r="N20" s="1" t="s">
        <v>137</v>
      </c>
    </row>
    <row r="21" spans="1:28">
      <c r="A21" s="1">
        <v>17</v>
      </c>
      <c r="B21" s="1"/>
      <c r="C21" s="7" t="s">
        <v>58</v>
      </c>
      <c r="D21" s="3">
        <v>2250153865866</v>
      </c>
      <c r="E21" s="8"/>
      <c r="F21" s="1" t="s">
        <v>136</v>
      </c>
      <c r="G21" s="1"/>
      <c r="H21" s="1" t="s">
        <v>136</v>
      </c>
      <c r="I21" s="1"/>
      <c r="J21" s="1" t="s">
        <v>136</v>
      </c>
      <c r="K21" s="1"/>
      <c r="L21" s="1" t="s">
        <v>136</v>
      </c>
      <c r="M21" s="7"/>
      <c r="N21" s="1" t="s">
        <v>136</v>
      </c>
    </row>
    <row r="22" spans="1:28">
      <c r="A22" s="1">
        <v>18</v>
      </c>
      <c r="B22" s="1" t="s">
        <v>59</v>
      </c>
      <c r="C22" s="7" t="s">
        <v>60</v>
      </c>
      <c r="D22" s="3">
        <v>2250759922332</v>
      </c>
      <c r="E22" s="8" t="s">
        <v>148</v>
      </c>
      <c r="F22" s="1" t="s">
        <v>137</v>
      </c>
      <c r="G22" s="1"/>
      <c r="H22" s="1" t="s">
        <v>136</v>
      </c>
      <c r="I22" s="1"/>
      <c r="J22" s="1" t="s">
        <v>136</v>
      </c>
      <c r="K22" s="1" t="s">
        <v>200</v>
      </c>
      <c r="L22" s="1" t="s">
        <v>136</v>
      </c>
      <c r="M22" s="7"/>
      <c r="N22" s="1" t="s">
        <v>136</v>
      </c>
    </row>
    <row r="23" spans="1:28">
      <c r="A23" s="1">
        <v>19</v>
      </c>
      <c r="B23" s="1" t="s">
        <v>32</v>
      </c>
      <c r="C23" s="7" t="s">
        <v>61</v>
      </c>
      <c r="D23" s="3"/>
      <c r="E23" s="8" t="s">
        <v>148</v>
      </c>
      <c r="F23" s="1" t="s">
        <v>137</v>
      </c>
      <c r="G23" s="1"/>
      <c r="H23" s="1" t="s">
        <v>137</v>
      </c>
      <c r="I23" s="1"/>
      <c r="J23" s="1" t="s">
        <v>137</v>
      </c>
      <c r="K23" s="1"/>
      <c r="L23" s="1" t="s">
        <v>137</v>
      </c>
      <c r="M23" s="7"/>
      <c r="N23" s="1" t="s">
        <v>137</v>
      </c>
    </row>
    <row r="24" spans="1:28">
      <c r="A24" s="1">
        <v>23</v>
      </c>
      <c r="B24" s="1"/>
      <c r="C24" s="7" t="s">
        <v>67</v>
      </c>
      <c r="D24" s="3">
        <v>2250544938393</v>
      </c>
      <c r="E24" s="8"/>
      <c r="F24" s="1" t="s">
        <v>137</v>
      </c>
      <c r="G24" s="1"/>
      <c r="H24" s="1" t="s">
        <v>137</v>
      </c>
      <c r="I24" s="1"/>
      <c r="J24" s="1" t="s">
        <v>137</v>
      </c>
      <c r="K24" s="1"/>
      <c r="L24" s="1" t="s">
        <v>136</v>
      </c>
      <c r="M24" s="7"/>
      <c r="N24" s="1" t="s">
        <v>137</v>
      </c>
    </row>
    <row r="25" spans="1:28">
      <c r="A25" s="1">
        <v>24</v>
      </c>
      <c r="B25" s="1"/>
      <c r="C25" s="7" t="s">
        <v>68</v>
      </c>
      <c r="D25" s="3"/>
      <c r="E25" s="8"/>
      <c r="F25" s="1" t="s">
        <v>136</v>
      </c>
      <c r="G25" s="1"/>
      <c r="H25" s="1" t="s">
        <v>136</v>
      </c>
      <c r="I25" s="1"/>
      <c r="J25" s="1" t="s">
        <v>136</v>
      </c>
      <c r="K25" s="1"/>
      <c r="L25" s="1" t="s">
        <v>136</v>
      </c>
      <c r="M25" s="7"/>
      <c r="N25" s="1" t="s">
        <v>136</v>
      </c>
    </row>
    <row r="26" spans="1:28">
      <c r="A26" s="1">
        <v>25</v>
      </c>
      <c r="B26" s="1"/>
      <c r="C26" s="7" t="s">
        <v>69</v>
      </c>
      <c r="D26" s="3">
        <v>2250150315539</v>
      </c>
      <c r="E26" s="8"/>
      <c r="F26" s="1" t="s">
        <v>137</v>
      </c>
      <c r="G26" s="1"/>
      <c r="H26" s="1" t="s">
        <v>137</v>
      </c>
      <c r="I26" s="1"/>
      <c r="J26" s="1" t="s">
        <v>137</v>
      </c>
      <c r="K26" s="1"/>
      <c r="L26" s="1" t="s">
        <v>136</v>
      </c>
      <c r="M26" s="7"/>
      <c r="N26" s="1" t="s">
        <v>137</v>
      </c>
    </row>
    <row r="27" spans="1:28">
      <c r="A27" s="1">
        <v>26</v>
      </c>
      <c r="B27" s="1"/>
      <c r="C27" s="7" t="s">
        <v>74</v>
      </c>
      <c r="D27" s="3">
        <v>2250150520571</v>
      </c>
      <c r="E27" s="8"/>
      <c r="F27" s="1" t="s">
        <v>137</v>
      </c>
      <c r="G27" s="1"/>
      <c r="H27" s="1" t="s">
        <v>136</v>
      </c>
      <c r="I27" s="1"/>
      <c r="J27" s="1"/>
      <c r="K27" s="1"/>
      <c r="L27" s="1" t="s">
        <v>136</v>
      </c>
      <c r="M27" s="7"/>
      <c r="N27" s="1" t="s">
        <v>136</v>
      </c>
      <c r="AB27" t="s">
        <v>191</v>
      </c>
    </row>
    <row r="28" spans="1:28">
      <c r="A28" s="1">
        <v>27</v>
      </c>
      <c r="B28" s="1" t="s">
        <v>112</v>
      </c>
      <c r="C28" s="7" t="s">
        <v>75</v>
      </c>
      <c r="D28" s="3">
        <v>2250709792965</v>
      </c>
      <c r="E28" s="8"/>
      <c r="F28" s="1" t="s">
        <v>136</v>
      </c>
      <c r="G28" s="1"/>
      <c r="H28" s="1" t="s">
        <v>136</v>
      </c>
      <c r="I28" s="1"/>
      <c r="J28" s="1" t="s">
        <v>136</v>
      </c>
      <c r="K28" s="1"/>
      <c r="L28" s="1" t="s">
        <v>136</v>
      </c>
      <c r="M28" s="7"/>
      <c r="N28" s="1" t="s">
        <v>136</v>
      </c>
    </row>
    <row r="29" spans="1:28">
      <c r="A29" s="1">
        <v>28</v>
      </c>
      <c r="B29" s="1"/>
      <c r="C29" s="7" t="s">
        <v>76</v>
      </c>
      <c r="D29" s="3">
        <v>2250596918737</v>
      </c>
      <c r="E29" s="8"/>
      <c r="F29" s="1" t="s">
        <v>136</v>
      </c>
      <c r="G29" s="1"/>
      <c r="H29" s="1" t="s">
        <v>136</v>
      </c>
      <c r="I29" s="1"/>
      <c r="J29" s="1"/>
      <c r="K29" s="1"/>
      <c r="L29" s="1"/>
      <c r="M29" s="7"/>
      <c r="N29" s="1" t="s">
        <v>136</v>
      </c>
    </row>
    <row r="30" spans="1:28">
      <c r="A30" s="1">
        <v>29</v>
      </c>
      <c r="B30" s="1"/>
      <c r="C30" s="7" t="s">
        <v>33</v>
      </c>
      <c r="D30" s="3">
        <v>2250141924365</v>
      </c>
      <c r="E30" s="8"/>
      <c r="F30" s="1" t="s">
        <v>136</v>
      </c>
      <c r="G30" s="1"/>
      <c r="H30" s="1" t="s">
        <v>136</v>
      </c>
      <c r="I30" s="1"/>
      <c r="J30" s="1" t="s">
        <v>137</v>
      </c>
      <c r="K30" s="1"/>
      <c r="L30" s="1" t="s">
        <v>136</v>
      </c>
      <c r="M30" s="7"/>
      <c r="N30" s="1" t="s">
        <v>136</v>
      </c>
    </row>
    <row r="31" spans="1:28">
      <c r="A31" s="1">
        <v>30</v>
      </c>
      <c r="B31" s="1"/>
      <c r="C31" s="7" t="s">
        <v>77</v>
      </c>
      <c r="D31" s="3"/>
      <c r="E31" s="8"/>
      <c r="F31" s="1" t="s">
        <v>136</v>
      </c>
      <c r="G31" s="1"/>
      <c r="H31" s="1" t="s">
        <v>136</v>
      </c>
      <c r="I31" s="1"/>
      <c r="J31" s="1" t="s">
        <v>136</v>
      </c>
      <c r="K31" s="1"/>
      <c r="L31" s="1"/>
      <c r="M31" s="7"/>
      <c r="N31" s="1" t="s">
        <v>136</v>
      </c>
    </row>
    <row r="32" spans="1:28">
      <c r="A32" s="1">
        <v>31</v>
      </c>
      <c r="B32" s="1"/>
      <c r="C32" s="7" t="s">
        <v>79</v>
      </c>
      <c r="D32" s="3">
        <v>2250151324300</v>
      </c>
      <c r="E32" s="8" t="s">
        <v>147</v>
      </c>
      <c r="F32" s="1" t="s">
        <v>137</v>
      </c>
      <c r="G32" s="1"/>
      <c r="H32" s="1" t="s">
        <v>137</v>
      </c>
      <c r="I32" s="1"/>
      <c r="J32" s="1" t="s">
        <v>137</v>
      </c>
      <c r="K32" s="1"/>
      <c r="L32" s="1" t="s">
        <v>137</v>
      </c>
      <c r="M32" s="7"/>
      <c r="N32" s="1" t="s">
        <v>137</v>
      </c>
    </row>
    <row r="33" spans="1:14">
      <c r="A33" s="1">
        <v>32</v>
      </c>
      <c r="B33" s="1" t="s">
        <v>81</v>
      </c>
      <c r="C33" s="7" t="s">
        <v>82</v>
      </c>
      <c r="D33" s="3">
        <v>2250759844124</v>
      </c>
      <c r="E33" s="8" t="s">
        <v>147</v>
      </c>
      <c r="F33" s="1" t="s">
        <v>137</v>
      </c>
      <c r="G33" s="1"/>
      <c r="H33" s="1" t="s">
        <v>136</v>
      </c>
      <c r="I33" s="1"/>
      <c r="J33" s="1" t="s">
        <v>137</v>
      </c>
      <c r="K33" s="1"/>
      <c r="L33" s="1" t="s">
        <v>137</v>
      </c>
      <c r="M33" s="7"/>
      <c r="N33" s="1" t="s">
        <v>136</v>
      </c>
    </row>
    <row r="34" spans="1:14">
      <c r="A34" s="1">
        <v>33</v>
      </c>
      <c r="B34" s="1" t="s">
        <v>84</v>
      </c>
      <c r="C34" s="7" t="s">
        <v>85</v>
      </c>
      <c r="D34" s="3">
        <v>2250769332840</v>
      </c>
      <c r="E34" s="8"/>
      <c r="F34" s="1" t="s">
        <v>137</v>
      </c>
      <c r="G34" s="1"/>
      <c r="H34" s="1" t="s">
        <v>136</v>
      </c>
      <c r="I34" s="1"/>
      <c r="J34" s="1" t="s">
        <v>137</v>
      </c>
      <c r="K34" s="1"/>
      <c r="L34" s="1" t="s">
        <v>137</v>
      </c>
      <c r="M34" s="7"/>
      <c r="N34" s="1" t="s">
        <v>137</v>
      </c>
    </row>
    <row r="35" spans="1:14">
      <c r="A35" s="1">
        <v>34</v>
      </c>
      <c r="B35" s="1" t="s">
        <v>87</v>
      </c>
      <c r="C35" s="7" t="s">
        <v>88</v>
      </c>
      <c r="D35" s="3">
        <v>2250747186965</v>
      </c>
      <c r="E35" s="8"/>
      <c r="F35" s="1" t="s">
        <v>137</v>
      </c>
      <c r="G35" s="1"/>
      <c r="H35" s="1" t="s">
        <v>137</v>
      </c>
      <c r="I35" s="1"/>
      <c r="J35" s="1"/>
      <c r="K35" s="1"/>
      <c r="L35" s="1" t="s">
        <v>137</v>
      </c>
      <c r="M35" s="7"/>
      <c r="N35" s="1" t="s">
        <v>137</v>
      </c>
    </row>
    <row r="36" spans="1:14">
      <c r="A36" s="1">
        <v>35</v>
      </c>
      <c r="B36" s="1" t="s">
        <v>90</v>
      </c>
      <c r="C36" s="7" t="s">
        <v>91</v>
      </c>
      <c r="D36" s="3">
        <v>2250757102682</v>
      </c>
      <c r="E36" s="8"/>
      <c r="F36" s="1" t="s">
        <v>138</v>
      </c>
      <c r="G36" s="1"/>
      <c r="H36" s="1" t="s">
        <v>138</v>
      </c>
      <c r="I36" s="1"/>
      <c r="J36" s="1" t="s">
        <v>138</v>
      </c>
      <c r="K36" s="1"/>
      <c r="L36" s="1" t="s">
        <v>138</v>
      </c>
      <c r="M36" s="7"/>
      <c r="N36" s="1" t="s">
        <v>138</v>
      </c>
    </row>
    <row r="37" spans="1:14">
      <c r="A37" s="1">
        <v>36</v>
      </c>
      <c r="B37" s="1" t="s">
        <v>94</v>
      </c>
      <c r="C37" s="7" t="s">
        <v>92</v>
      </c>
      <c r="D37" s="3">
        <v>2250767486748</v>
      </c>
      <c r="E37" s="8"/>
      <c r="F37" s="1" t="s">
        <v>137</v>
      </c>
      <c r="G37" s="1"/>
      <c r="H37" s="1" t="s">
        <v>138</v>
      </c>
      <c r="I37" s="1"/>
      <c r="J37" s="1" t="s">
        <v>136</v>
      </c>
      <c r="K37" s="1"/>
      <c r="L37" s="1" t="s">
        <v>138</v>
      </c>
      <c r="M37" s="7"/>
      <c r="N37" s="1" t="s">
        <v>138</v>
      </c>
    </row>
    <row r="38" spans="1:14">
      <c r="A38" s="1">
        <v>37</v>
      </c>
      <c r="B38" s="1" t="s">
        <v>100</v>
      </c>
      <c r="C38" s="7" t="s">
        <v>93</v>
      </c>
      <c r="D38" s="3">
        <v>2250779005712</v>
      </c>
      <c r="E38" s="8"/>
      <c r="F38" s="1" t="s">
        <v>138</v>
      </c>
      <c r="G38" s="1"/>
      <c r="H38" s="1" t="s">
        <v>138</v>
      </c>
      <c r="I38" s="1"/>
      <c r="J38" s="1" t="s">
        <v>138</v>
      </c>
      <c r="K38" s="1"/>
      <c r="L38" s="1" t="s">
        <v>138</v>
      </c>
      <c r="M38" s="7"/>
      <c r="N38" s="1" t="s">
        <v>138</v>
      </c>
    </row>
    <row r="39" spans="1:14">
      <c r="A39" s="1">
        <v>38</v>
      </c>
      <c r="B39" s="1" t="s">
        <v>95</v>
      </c>
      <c r="C39" s="7" t="s">
        <v>96</v>
      </c>
      <c r="D39" s="3">
        <v>2250759840149</v>
      </c>
      <c r="E39" s="8"/>
      <c r="F39" s="1" t="s">
        <v>136</v>
      </c>
      <c r="G39" s="1"/>
      <c r="H39" s="1" t="s">
        <v>136</v>
      </c>
      <c r="I39" s="1"/>
      <c r="J39" s="1"/>
      <c r="K39" s="1"/>
      <c r="L39" s="1"/>
      <c r="M39" s="7"/>
      <c r="N39" s="1" t="s">
        <v>136</v>
      </c>
    </row>
    <row r="40" spans="1:14">
      <c r="A40" s="1">
        <v>39</v>
      </c>
      <c r="B40" s="1" t="s">
        <v>42</v>
      </c>
      <c r="C40" s="7" t="s">
        <v>199</v>
      </c>
      <c r="D40" s="3">
        <v>2250709193369</v>
      </c>
      <c r="E40" s="8"/>
      <c r="F40" s="1" t="s">
        <v>137</v>
      </c>
      <c r="G40" s="1"/>
      <c r="H40" s="1" t="s">
        <v>136</v>
      </c>
      <c r="I40" s="1"/>
      <c r="J40" s="1"/>
      <c r="K40" s="1"/>
      <c r="L40" s="1"/>
      <c r="M40" s="7"/>
      <c r="N40" s="1" t="s">
        <v>136</v>
      </c>
    </row>
    <row r="41" spans="1:14">
      <c r="A41" s="1">
        <v>40</v>
      </c>
      <c r="B41" s="1"/>
      <c r="C41" s="7" t="s">
        <v>101</v>
      </c>
      <c r="D41" s="3">
        <v>2250566552569</v>
      </c>
      <c r="E41" s="8"/>
      <c r="F41" s="1" t="s">
        <v>137</v>
      </c>
      <c r="G41" s="1"/>
      <c r="H41" s="1" t="s">
        <v>136</v>
      </c>
      <c r="I41" s="1"/>
      <c r="J41" s="1"/>
      <c r="K41" s="1"/>
      <c r="L41" s="1"/>
      <c r="M41" s="7"/>
      <c r="N41" s="1" t="s">
        <v>137</v>
      </c>
    </row>
    <row r="42" spans="1:14">
      <c r="A42" s="1">
        <v>41</v>
      </c>
      <c r="B42" s="1" t="s">
        <v>105</v>
      </c>
      <c r="C42" s="7" t="s">
        <v>103</v>
      </c>
      <c r="D42" s="3">
        <v>2250101775707</v>
      </c>
      <c r="E42" s="8"/>
      <c r="F42" s="1" t="s">
        <v>136</v>
      </c>
      <c r="G42" s="1"/>
      <c r="H42" s="1" t="s">
        <v>136</v>
      </c>
      <c r="I42" s="1"/>
      <c r="J42" s="1"/>
      <c r="K42" s="1"/>
      <c r="L42" s="1"/>
      <c r="M42" s="7"/>
      <c r="N42" s="1" t="s">
        <v>136</v>
      </c>
    </row>
    <row r="43" spans="1:14">
      <c r="A43" s="1">
        <v>42</v>
      </c>
      <c r="B43" s="1"/>
      <c r="C43" s="7" t="s">
        <v>106</v>
      </c>
      <c r="D43" s="3"/>
      <c r="E43" s="8"/>
      <c r="F43" s="1" t="s">
        <v>136</v>
      </c>
      <c r="G43" s="1"/>
      <c r="H43" s="1" t="s">
        <v>136</v>
      </c>
      <c r="I43" s="1"/>
      <c r="J43" s="1"/>
      <c r="K43" s="1"/>
      <c r="L43" s="1"/>
      <c r="M43" s="7"/>
      <c r="N43" s="1" t="s">
        <v>136</v>
      </c>
    </row>
    <row r="44" spans="1:14">
      <c r="A44" s="1">
        <v>43</v>
      </c>
      <c r="B44" s="1"/>
      <c r="C44" s="7" t="s">
        <v>107</v>
      </c>
      <c r="D44" s="3">
        <v>2250507305833</v>
      </c>
      <c r="E44" s="8"/>
      <c r="F44" s="1" t="s">
        <v>136</v>
      </c>
      <c r="G44" s="1"/>
      <c r="H44" s="1" t="s">
        <v>137</v>
      </c>
      <c r="I44" s="1"/>
      <c r="J44" s="1"/>
      <c r="K44" s="1"/>
      <c r="L44" s="1"/>
      <c r="M44" s="7"/>
      <c r="N44" s="1" t="s">
        <v>137</v>
      </c>
    </row>
    <row r="45" spans="1:14">
      <c r="A45" s="1">
        <v>44</v>
      </c>
      <c r="B45" s="1"/>
      <c r="C45" s="7" t="s">
        <v>109</v>
      </c>
      <c r="D45" s="3">
        <v>2250788893541</v>
      </c>
      <c r="E45" s="8"/>
      <c r="F45" s="1" t="s">
        <v>136</v>
      </c>
      <c r="G45" s="1"/>
      <c r="H45" s="1" t="s">
        <v>136</v>
      </c>
      <c r="I45" s="1"/>
      <c r="J45" s="1"/>
      <c r="K45" s="1"/>
      <c r="L45" s="1"/>
      <c r="M45" s="7"/>
      <c r="N45" s="1" t="s">
        <v>136</v>
      </c>
    </row>
    <row r="46" spans="1:14">
      <c r="A46" s="1">
        <v>45</v>
      </c>
      <c r="B46" s="1"/>
      <c r="C46" s="7" t="s">
        <v>110</v>
      </c>
      <c r="D46" s="3">
        <v>2250757354449</v>
      </c>
      <c r="E46" s="8"/>
      <c r="F46" s="1" t="s">
        <v>136</v>
      </c>
      <c r="G46" s="1"/>
      <c r="H46" s="1" t="s">
        <v>136</v>
      </c>
      <c r="I46" s="1"/>
      <c r="J46" s="1" t="s">
        <v>137</v>
      </c>
      <c r="K46" s="1"/>
      <c r="L46" s="1" t="s">
        <v>136</v>
      </c>
      <c r="M46" s="7"/>
      <c r="N46" s="1" t="s">
        <v>136</v>
      </c>
    </row>
    <row r="47" spans="1:14">
      <c r="A47" s="1">
        <v>46</v>
      </c>
      <c r="B47" s="1"/>
      <c r="C47" s="7" t="s">
        <v>111</v>
      </c>
      <c r="D47" s="3">
        <v>2250767008346</v>
      </c>
      <c r="E47" s="8"/>
      <c r="F47" s="1" t="s">
        <v>136</v>
      </c>
      <c r="G47" s="1"/>
      <c r="H47" s="1" t="s">
        <v>136</v>
      </c>
      <c r="I47" s="1"/>
      <c r="J47" s="1" t="s">
        <v>136</v>
      </c>
      <c r="K47" s="1"/>
      <c r="L47" s="1" t="s">
        <v>136</v>
      </c>
      <c r="M47" s="7"/>
      <c r="N47" s="1" t="s">
        <v>136</v>
      </c>
    </row>
    <row r="48" spans="1:14">
      <c r="A48" s="1">
        <v>47</v>
      </c>
      <c r="B48" s="1" t="s">
        <v>113</v>
      </c>
      <c r="C48" s="7" t="s">
        <v>114</v>
      </c>
      <c r="D48" s="3">
        <v>2250140072250</v>
      </c>
      <c r="E48" s="8"/>
      <c r="F48" s="1" t="s">
        <v>136</v>
      </c>
      <c r="G48" s="1"/>
      <c r="H48" s="1" t="s">
        <v>136</v>
      </c>
      <c r="I48" s="1"/>
      <c r="J48" s="1" t="s">
        <v>136</v>
      </c>
      <c r="K48" s="1"/>
      <c r="L48" s="1"/>
      <c r="M48" s="7"/>
      <c r="N48" s="1" t="s">
        <v>136</v>
      </c>
    </row>
    <row r="49" spans="1:14">
      <c r="A49" s="1">
        <v>48</v>
      </c>
      <c r="B49" s="1" t="s">
        <v>123</v>
      </c>
      <c r="C49" s="7" t="s">
        <v>115</v>
      </c>
      <c r="D49" s="3">
        <v>2250709520439</v>
      </c>
      <c r="E49" s="8"/>
      <c r="F49" s="1" t="s">
        <v>137</v>
      </c>
      <c r="G49" s="1"/>
      <c r="H49" s="1" t="s">
        <v>137</v>
      </c>
      <c r="I49" s="1"/>
      <c r="J49" s="1" t="s">
        <v>136</v>
      </c>
      <c r="K49" s="1"/>
      <c r="L49" s="1" t="s">
        <v>136</v>
      </c>
      <c r="M49" s="7"/>
      <c r="N49" s="1" t="s">
        <v>137</v>
      </c>
    </row>
    <row r="50" spans="1:14">
      <c r="A50" s="1">
        <v>49</v>
      </c>
      <c r="B50" s="1"/>
      <c r="C50" s="7" t="s">
        <v>116</v>
      </c>
      <c r="D50" s="3">
        <v>2250705071561</v>
      </c>
      <c r="E50" s="8"/>
      <c r="F50" s="1" t="s">
        <v>136</v>
      </c>
      <c r="G50" s="1"/>
      <c r="H50" s="1" t="s">
        <v>136</v>
      </c>
      <c r="I50" s="1"/>
      <c r="J50" s="1"/>
      <c r="K50" s="1"/>
      <c r="L50" s="1"/>
      <c r="M50" s="7"/>
      <c r="N50" s="1" t="s">
        <v>136</v>
      </c>
    </row>
    <row r="51" spans="1:14">
      <c r="A51" s="1">
        <v>50</v>
      </c>
      <c r="B51" s="1"/>
      <c r="C51" s="7" t="s">
        <v>125</v>
      </c>
      <c r="D51" s="4">
        <v>2250705864911</v>
      </c>
      <c r="E51" s="8"/>
      <c r="F51" s="1" t="s">
        <v>136</v>
      </c>
      <c r="G51" s="1"/>
      <c r="H51" s="1" t="s">
        <v>136</v>
      </c>
      <c r="I51" s="1"/>
      <c r="J51" s="1"/>
      <c r="K51" s="1"/>
      <c r="L51" s="1"/>
      <c r="M51" s="7"/>
      <c r="N51" s="1" t="s">
        <v>136</v>
      </c>
    </row>
    <row r="52" spans="1:14">
      <c r="A52" s="1">
        <v>51</v>
      </c>
      <c r="B52" s="1" t="s">
        <v>127</v>
      </c>
      <c r="C52" s="7" t="s">
        <v>128</v>
      </c>
      <c r="D52" s="3">
        <v>2250713998079</v>
      </c>
      <c r="E52" s="8"/>
      <c r="F52" s="1" t="s">
        <v>137</v>
      </c>
      <c r="G52" s="1"/>
      <c r="H52" s="1" t="s">
        <v>136</v>
      </c>
      <c r="I52" s="1"/>
      <c r="J52" s="1" t="s">
        <v>137</v>
      </c>
      <c r="K52" s="1"/>
      <c r="L52" s="1" t="s">
        <v>137</v>
      </c>
      <c r="M52" s="7"/>
      <c r="N52" s="1" t="s">
        <v>136</v>
      </c>
    </row>
    <row r="53" spans="1:14">
      <c r="A53" s="1">
        <v>52</v>
      </c>
      <c r="B53" s="1" t="s">
        <v>130</v>
      </c>
      <c r="C53" s="7" t="s">
        <v>131</v>
      </c>
      <c r="D53" s="3">
        <v>2250767322354</v>
      </c>
      <c r="E53" s="8"/>
      <c r="F53" s="1" t="s">
        <v>137</v>
      </c>
      <c r="G53" s="1"/>
      <c r="H53" s="1" t="s">
        <v>137</v>
      </c>
      <c r="I53" s="1"/>
      <c r="J53" s="1" t="s">
        <v>137</v>
      </c>
      <c r="K53" s="1"/>
      <c r="L53" s="1" t="s">
        <v>137</v>
      </c>
      <c r="M53" s="7"/>
      <c r="N53" s="1" t="s">
        <v>137</v>
      </c>
    </row>
    <row r="54" spans="1:14">
      <c r="A54" s="1">
        <v>53</v>
      </c>
      <c r="B54" s="1" t="s">
        <v>132</v>
      </c>
      <c r="C54" s="7" t="s">
        <v>133</v>
      </c>
      <c r="D54" s="3">
        <v>2250749303420</v>
      </c>
      <c r="E54" s="8"/>
      <c r="F54" s="1" t="s">
        <v>137</v>
      </c>
      <c r="G54" s="1"/>
      <c r="H54" s="1" t="s">
        <v>136</v>
      </c>
      <c r="I54" s="1"/>
      <c r="J54" s="1"/>
      <c r="K54" s="1"/>
      <c r="L54" s="1"/>
      <c r="M54" s="7"/>
      <c r="N54" s="1" t="s">
        <v>136</v>
      </c>
    </row>
    <row r="55" spans="1:14">
      <c r="A55" s="1">
        <v>54</v>
      </c>
      <c r="B55" s="1"/>
      <c r="C55" s="7" t="s">
        <v>135</v>
      </c>
      <c r="D55" s="3">
        <v>2250142727109</v>
      </c>
      <c r="E55" s="8"/>
      <c r="F55" s="1" t="s">
        <v>136</v>
      </c>
      <c r="G55" s="1"/>
      <c r="H55" s="1" t="s">
        <v>136</v>
      </c>
      <c r="I55" s="1"/>
      <c r="J55" s="1"/>
      <c r="K55" s="1"/>
      <c r="L55" s="1" t="s">
        <v>136</v>
      </c>
      <c r="M55" s="7"/>
      <c r="N55" s="1" t="s">
        <v>136</v>
      </c>
    </row>
    <row r="56" spans="1:14">
      <c r="A56" s="1">
        <v>55</v>
      </c>
      <c r="B56" s="1"/>
      <c r="C56" s="7" t="s">
        <v>155</v>
      </c>
      <c r="D56" s="3">
        <v>2250747424318</v>
      </c>
      <c r="E56" s="8"/>
      <c r="F56" s="1" t="s">
        <v>136</v>
      </c>
      <c r="G56" s="1"/>
      <c r="H56" s="1" t="s">
        <v>136</v>
      </c>
      <c r="I56" s="1"/>
      <c r="J56" s="1"/>
      <c r="K56" s="1"/>
      <c r="L56" s="1"/>
      <c r="M56" s="7"/>
      <c r="N56" s="1" t="s">
        <v>136</v>
      </c>
    </row>
    <row r="57" spans="1:14">
      <c r="A57" s="1">
        <v>56</v>
      </c>
      <c r="B57" s="1"/>
      <c r="C57" s="7" t="s">
        <v>156</v>
      </c>
      <c r="D57" s="3">
        <v>2250152275819</v>
      </c>
      <c r="E57" s="8"/>
      <c r="F57" s="1" t="s">
        <v>136</v>
      </c>
      <c r="G57" s="1"/>
      <c r="H57" s="1" t="s">
        <v>136</v>
      </c>
      <c r="I57" s="1"/>
      <c r="J57" s="1"/>
      <c r="K57" s="1"/>
      <c r="L57" s="1"/>
      <c r="M57" s="7"/>
      <c r="N57" s="1" t="s">
        <v>136</v>
      </c>
    </row>
    <row r="58" spans="1:14">
      <c r="A58" s="1">
        <v>57</v>
      </c>
      <c r="B58" s="1"/>
      <c r="C58" s="7" t="s">
        <v>157</v>
      </c>
      <c r="D58" s="3">
        <v>2250758244460</v>
      </c>
      <c r="E58" s="8"/>
      <c r="F58" s="1" t="s">
        <v>136</v>
      </c>
      <c r="G58" s="1"/>
      <c r="H58" s="1" t="s">
        <v>136</v>
      </c>
      <c r="I58" s="1"/>
      <c r="J58" s="1"/>
      <c r="K58" s="1"/>
      <c r="L58" s="1"/>
      <c r="M58" s="7"/>
      <c r="N58" s="1" t="s">
        <v>136</v>
      </c>
    </row>
    <row r="59" spans="1:14">
      <c r="A59" s="1">
        <v>58</v>
      </c>
      <c r="B59" s="1"/>
      <c r="C59" s="7" t="s">
        <v>158</v>
      </c>
      <c r="D59" s="3">
        <v>2250594876100</v>
      </c>
      <c r="E59" s="8"/>
      <c r="F59" s="1" t="s">
        <v>136</v>
      </c>
      <c r="G59" s="1"/>
      <c r="H59" s="1" t="s">
        <v>136</v>
      </c>
      <c r="I59" s="1"/>
      <c r="J59" s="1"/>
      <c r="K59" s="1"/>
      <c r="L59" s="1"/>
      <c r="M59" s="7"/>
      <c r="N59" s="1" t="s">
        <v>136</v>
      </c>
    </row>
    <row r="60" spans="1:14">
      <c r="A60" s="1">
        <v>60</v>
      </c>
      <c r="B60" s="1"/>
      <c r="C60" s="7" t="s">
        <v>161</v>
      </c>
      <c r="D60" s="3">
        <v>2250595321849</v>
      </c>
      <c r="E60" s="8"/>
      <c r="F60" s="1" t="s">
        <v>136</v>
      </c>
      <c r="G60" s="1"/>
      <c r="H60" s="1" t="s">
        <v>136</v>
      </c>
      <c r="I60" s="1"/>
      <c r="J60" s="1"/>
      <c r="K60" s="1"/>
      <c r="L60" s="1"/>
      <c r="M60" s="7"/>
      <c r="N60" s="1" t="s">
        <v>136</v>
      </c>
    </row>
    <row r="61" spans="1:14">
      <c r="A61" s="1">
        <v>61</v>
      </c>
      <c r="B61" s="1" t="s">
        <v>162</v>
      </c>
      <c r="C61" s="1" t="s">
        <v>163</v>
      </c>
      <c r="D61" s="3">
        <v>2250798250548</v>
      </c>
      <c r="E61" s="8"/>
      <c r="F61" s="1" t="s">
        <v>136</v>
      </c>
      <c r="G61" s="1"/>
      <c r="H61" s="1" t="s">
        <v>136</v>
      </c>
      <c r="I61" s="1"/>
      <c r="J61" s="1"/>
      <c r="K61" s="1"/>
      <c r="L61" s="1"/>
      <c r="M61" s="7"/>
      <c r="N61" s="1" t="s">
        <v>136</v>
      </c>
    </row>
    <row r="62" spans="1:14">
      <c r="A62" s="1">
        <v>62</v>
      </c>
      <c r="B62" s="1" t="s">
        <v>165</v>
      </c>
      <c r="C62" s="1" t="s">
        <v>166</v>
      </c>
      <c r="D62" s="3">
        <v>2250777235405</v>
      </c>
      <c r="E62" s="8"/>
      <c r="F62" s="1" t="s">
        <v>136</v>
      </c>
      <c r="G62" s="1"/>
      <c r="H62" s="1" t="s">
        <v>136</v>
      </c>
      <c r="I62" s="1"/>
      <c r="J62" s="1"/>
      <c r="K62" s="1"/>
      <c r="L62" s="1"/>
      <c r="M62" s="7"/>
      <c r="N62" s="1" t="s">
        <v>136</v>
      </c>
    </row>
    <row r="63" spans="1:14">
      <c r="A63" s="1">
        <v>63</v>
      </c>
      <c r="B63" s="1"/>
      <c r="C63" s="1" t="s">
        <v>169</v>
      </c>
      <c r="D63" s="3">
        <v>2252575853889</v>
      </c>
      <c r="E63" s="8"/>
      <c r="F63" s="1" t="s">
        <v>136</v>
      </c>
      <c r="G63" s="1"/>
      <c r="H63" s="1" t="s">
        <v>136</v>
      </c>
      <c r="I63" s="1"/>
      <c r="J63" s="1"/>
      <c r="K63" s="1"/>
      <c r="L63" s="1"/>
      <c r="M63" s="7"/>
      <c r="N63" s="1" t="s">
        <v>137</v>
      </c>
    </row>
    <row r="64" spans="1:14">
      <c r="A64" s="1">
        <v>64</v>
      </c>
      <c r="B64" s="1" t="s">
        <v>196</v>
      </c>
      <c r="C64" s="7" t="s">
        <v>197</v>
      </c>
      <c r="D64" s="3">
        <v>2250757977787</v>
      </c>
      <c r="E64" s="8"/>
      <c r="F64" s="1" t="s">
        <v>137</v>
      </c>
      <c r="G64" s="1"/>
      <c r="H64" s="1" t="s">
        <v>136</v>
      </c>
      <c r="I64" s="1"/>
      <c r="J64" s="1" t="s">
        <v>136</v>
      </c>
      <c r="K64" s="1"/>
      <c r="L64" s="1" t="s">
        <v>136</v>
      </c>
      <c r="M64" s="7"/>
      <c r="N64" s="1" t="s">
        <v>137</v>
      </c>
    </row>
    <row r="65" spans="1:14">
      <c r="A65" s="1">
        <v>65</v>
      </c>
      <c r="B65" s="1" t="s">
        <v>196</v>
      </c>
      <c r="C65" s="7" t="s">
        <v>198</v>
      </c>
      <c r="D65" s="3">
        <v>2250779585355</v>
      </c>
      <c r="E65" s="8"/>
      <c r="F65" s="1" t="s">
        <v>137</v>
      </c>
      <c r="G65" s="1"/>
      <c r="H65" s="1" t="s">
        <v>136</v>
      </c>
      <c r="I65" s="1"/>
      <c r="J65" s="1" t="s">
        <v>136</v>
      </c>
      <c r="K65" s="1"/>
      <c r="L65" s="1" t="s">
        <v>136</v>
      </c>
      <c r="M65" s="7"/>
      <c r="N65" s="1" t="s">
        <v>137</v>
      </c>
    </row>
    <row r="66" spans="1:14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4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4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4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4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4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4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4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4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4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4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4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4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4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4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191</v>
      </c>
    </row>
  </sheetData>
  <mergeCells count="24">
    <mergeCell ref="F2:O2"/>
    <mergeCell ref="P4:Q4"/>
    <mergeCell ref="R4:S4"/>
    <mergeCell ref="T4:U4"/>
    <mergeCell ref="V4:W4"/>
    <mergeCell ref="Q16:R16"/>
    <mergeCell ref="S16:T16"/>
    <mergeCell ref="X4:Y4"/>
    <mergeCell ref="Z4:AA4"/>
    <mergeCell ref="Q7:R7"/>
    <mergeCell ref="T7:U7"/>
    <mergeCell ref="W7:X7"/>
    <mergeCell ref="Z7:AA7"/>
    <mergeCell ref="AC7:AD7"/>
    <mergeCell ref="Q14:R14"/>
    <mergeCell ref="S14:T14"/>
    <mergeCell ref="Q15:R15"/>
    <mergeCell ref="S15:T15"/>
    <mergeCell ref="Q17:R17"/>
    <mergeCell ref="S17:T17"/>
    <mergeCell ref="Q18:R18"/>
    <mergeCell ref="Q19:R19"/>
    <mergeCell ref="S18:T18"/>
    <mergeCell ref="S19:T19"/>
  </mergeCells>
  <conditionalFormatting sqref="Q7:R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{748B5197-5A75-49DC-B9F9-EA7E7D4CC500}</x14:id>
        </ext>
      </extLst>
    </cfRule>
  </conditionalFormatting>
  <conditionalFormatting sqref="T7:U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{DBD7E554-D845-4F41-8F8E-AB8D24A0E678}</x14:id>
        </ext>
      </extLst>
    </cfRule>
  </conditionalFormatting>
  <conditionalFormatting sqref="W7:X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{690D42BC-816A-43DA-BD83-EF57772C2A3A}</x14:id>
        </ext>
      </extLst>
    </cfRule>
  </conditionalFormatting>
  <conditionalFormatting sqref="Z7:AA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{853751F1-A8AD-4074-86B9-A65A7B59898E}</x14:id>
        </ext>
      </extLst>
    </cfRule>
  </conditionalFormatting>
  <conditionalFormatting sqref="AC7:A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{8607D357-79F8-43A7-9720-A170E1E50902}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Option Button 16">
              <controlPr defaultSize="0" autoFill="0" autoLine="0" autoPict="0" macro="[0]!LISTE_COMPLETE">
                <anchor moveWithCells="1">
                  <from>
                    <xdr:col>15</xdr:col>
                    <xdr:colOff>152400</xdr:colOff>
                    <xdr:row>3</xdr:row>
                    <xdr:rowOff>114300</xdr:rowOff>
                  </from>
                  <to>
                    <xdr:col>16</xdr:col>
                    <xdr:colOff>962025</xdr:colOff>
                    <xdr:row>3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Option Button 18">
              <controlPr defaultSize="0" autoFill="0" autoLine="0" autoPict="0" macro="[0]!ABSENTS_PREMIER_DIMANCHE_AOUT">
                <anchor moveWithCells="1">
                  <from>
                    <xdr:col>17</xdr:col>
                    <xdr:colOff>123825</xdr:colOff>
                    <xdr:row>3</xdr:row>
                    <xdr:rowOff>104775</xdr:rowOff>
                  </from>
                  <to>
                    <xdr:col>18</xdr:col>
                    <xdr:colOff>723900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 macro="[0]!ABSENTS_DEUXIEME_DIMANCHE_AOUT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 macro="[0]!ABSENTS_TROISIEME_DIMANCHE_AOUT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Option Button 21">
              <controlPr defaultSize="0" autoFill="0" autoLine="0" autoPict="0" macro="[0]!ABSENTS_QUATR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752475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Option Button 22">
              <controlPr defaultSize="0" autoFill="0" autoLine="0" autoPict="0" macro="[0]!ABSENTS_CINQUIEME_DIMANCHE_AOUT">
                <anchor moveWithCells="1">
                  <from>
                    <xdr:col>25</xdr:col>
                    <xdr:colOff>85725</xdr:colOff>
                    <xdr:row>3</xdr:row>
                    <xdr:rowOff>133350</xdr:rowOff>
                  </from>
                  <to>
                    <xdr:col>26</xdr:col>
                    <xdr:colOff>428625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8B5197-5A75-49DC-B9F9-EA7E7D4CC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Q7:R10</xm:sqref>
        </x14:conditionalFormatting>
        <x14:conditionalFormatting xmlns:xm="http://schemas.microsoft.com/office/excel/2006/main">
          <x14:cfRule type="dataBar" id="{DBD7E554-D845-4F41-8F8E-AB8D24A0E6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T7:U10</xm:sqref>
        </x14:conditionalFormatting>
        <x14:conditionalFormatting xmlns:xm="http://schemas.microsoft.com/office/excel/2006/main">
          <x14:cfRule type="dataBar" id="{690D42BC-816A-43DA-BD83-EF57772C2A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W7:X10</xm:sqref>
        </x14:conditionalFormatting>
        <x14:conditionalFormatting xmlns:xm="http://schemas.microsoft.com/office/excel/2006/main">
          <x14:cfRule type="dataBar" id="{853751F1-A8AD-4074-86B9-A65A7B5989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Z7:AA10</xm:sqref>
        </x14:conditionalFormatting>
        <x14:conditionalFormatting xmlns:xm="http://schemas.microsoft.com/office/excel/2006/main">
          <x14:cfRule type="dataBar" id="{8607D357-79F8-43A7-9720-A170E1E509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AC7:AD10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B388"/>
  <sheetViews>
    <sheetView zoomScale="85" workbookViewId="0">
      <selection activeCell="Z21" sqref="Z21"/>
    </sheetView>
  </sheetViews>
  <sheetFormatPr baseColWidth="10" defaultRowHeight="14.25"/>
  <cols>
    <col min="1" max="1" width="4.875" bestFit="1" customWidth="1"/>
    <col min="2" max="2" width="23.125" bestFit="1" customWidth="1"/>
    <col min="3" max="3" width="13.5" bestFit="1" customWidth="1"/>
    <col min="4" max="4" width="17" bestFit="1" customWidth="1"/>
    <col min="5" max="5" width="22.125" customWidth="1"/>
    <col min="6" max="6" width="21.75" customWidth="1"/>
    <col min="7" max="7" width="32.125" customWidth="1"/>
    <col min="8" max="8" width="21.75" customWidth="1"/>
    <col min="9" max="9" width="19.5" customWidth="1"/>
    <col min="10" max="10" width="21.75" customWidth="1"/>
    <col min="11" max="11" width="19.5" customWidth="1"/>
    <col min="12" max="12" width="21.75" customWidth="1"/>
    <col min="13" max="13" width="19.5" customWidth="1"/>
    <col min="14" max="14" width="11" customWidth="1"/>
    <col min="15" max="15" width="14.875" customWidth="1"/>
    <col min="18" max="18" width="21.75" customWidth="1"/>
    <col min="19" max="19" width="9.25" customWidth="1"/>
    <col min="21" max="21" width="15.25" bestFit="1" customWidth="1"/>
    <col min="24" max="24" width="15.25" bestFit="1" customWidth="1"/>
    <col min="27" max="27" width="15.25" bestFit="1" customWidth="1"/>
  </cols>
  <sheetData>
    <row r="1" spans="1:28" ht="18">
      <c r="A1" s="9"/>
    </row>
    <row r="2" spans="1:28" ht="15">
      <c r="F2" s="23" t="s">
        <v>206</v>
      </c>
      <c r="G2" s="24"/>
      <c r="H2" s="24"/>
      <c r="I2" s="24"/>
      <c r="J2" s="24"/>
      <c r="K2" s="24"/>
      <c r="L2" s="24"/>
      <c r="M2" s="24"/>
    </row>
    <row r="3" spans="1:28" ht="30">
      <c r="F3" s="19" t="s">
        <v>201</v>
      </c>
      <c r="G3" s="10"/>
      <c r="H3" s="18" t="s">
        <v>202</v>
      </c>
      <c r="I3" s="10"/>
      <c r="J3" s="18" t="s">
        <v>203</v>
      </c>
      <c r="K3" s="10"/>
      <c r="L3" s="18" t="s">
        <v>204</v>
      </c>
      <c r="M3" s="15"/>
    </row>
    <row r="4" spans="1:28" ht="42.75">
      <c r="A4" s="1" t="s">
        <v>16</v>
      </c>
      <c r="B4" s="1" t="s">
        <v>5</v>
      </c>
      <c r="C4" s="1" t="s">
        <v>6</v>
      </c>
      <c r="D4" s="2" t="s">
        <v>0</v>
      </c>
      <c r="E4" s="2" t="s">
        <v>108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12</v>
      </c>
      <c r="K4" s="1" t="s">
        <v>11</v>
      </c>
      <c r="L4" s="1" t="s">
        <v>14</v>
      </c>
      <c r="M4" s="7" t="s">
        <v>13</v>
      </c>
      <c r="N4" s="27"/>
      <c r="O4" s="28"/>
      <c r="P4" s="27"/>
      <c r="Q4" s="28"/>
      <c r="R4" s="27"/>
      <c r="S4" s="28"/>
      <c r="T4" s="27"/>
      <c r="U4" s="28"/>
      <c r="V4" s="27"/>
      <c r="W4" s="28"/>
      <c r="X4" s="27"/>
      <c r="Y4" s="28"/>
    </row>
    <row r="5" spans="1:28">
      <c r="A5" s="1">
        <v>1</v>
      </c>
      <c r="B5" s="1" t="s">
        <v>17</v>
      </c>
      <c r="C5" s="7" t="s">
        <v>18</v>
      </c>
      <c r="D5" s="3">
        <v>2250708740154</v>
      </c>
      <c r="E5" s="8" t="s">
        <v>143</v>
      </c>
      <c r="F5" s="1" t="s">
        <v>136</v>
      </c>
      <c r="G5" s="1"/>
      <c r="H5" s="1"/>
      <c r="I5" s="1"/>
      <c r="J5" s="1"/>
      <c r="K5" s="1"/>
      <c r="L5" s="1"/>
      <c r="M5" s="7"/>
    </row>
    <row r="6" spans="1:28">
      <c r="A6" s="1">
        <v>2</v>
      </c>
      <c r="B6" s="1" t="s">
        <v>23</v>
      </c>
      <c r="C6" s="7" t="s">
        <v>24</v>
      </c>
      <c r="D6" s="3">
        <v>2250709661689</v>
      </c>
      <c r="E6" s="8" t="s">
        <v>144</v>
      </c>
      <c r="F6" s="1" t="s">
        <v>137</v>
      </c>
      <c r="G6" s="1"/>
      <c r="H6" s="1"/>
      <c r="I6" s="1"/>
      <c r="J6" s="1"/>
      <c r="K6" s="1"/>
      <c r="L6" s="1"/>
      <c r="M6" s="7"/>
    </row>
    <row r="7" spans="1:28">
      <c r="A7" s="1">
        <v>3</v>
      </c>
      <c r="B7" s="1" t="s">
        <v>26</v>
      </c>
      <c r="C7" s="7" t="s">
        <v>27</v>
      </c>
      <c r="D7" s="3">
        <v>2250748441347</v>
      </c>
      <c r="E7" s="8" t="s">
        <v>144</v>
      </c>
      <c r="F7" s="1" t="s">
        <v>137</v>
      </c>
      <c r="G7" s="1"/>
      <c r="H7" s="1"/>
      <c r="I7" s="1"/>
      <c r="J7" s="1"/>
      <c r="K7" s="1"/>
      <c r="L7" s="1"/>
      <c r="M7" s="7"/>
      <c r="O7" s="22" t="s">
        <v>201</v>
      </c>
      <c r="P7" s="22"/>
      <c r="R7" s="22" t="s">
        <v>202</v>
      </c>
      <c r="S7" s="22"/>
      <c r="U7" s="22" t="s">
        <v>203</v>
      </c>
      <c r="V7" s="22"/>
      <c r="X7" s="22" t="s">
        <v>204</v>
      </c>
      <c r="Y7" s="22"/>
      <c r="AA7" s="22"/>
      <c r="AB7" s="22"/>
    </row>
    <row r="8" spans="1:28">
      <c r="A8" s="1">
        <v>4</v>
      </c>
      <c r="B8" s="1" t="s">
        <v>30</v>
      </c>
      <c r="C8" s="7" t="s">
        <v>31</v>
      </c>
      <c r="D8" s="3">
        <v>2250747851053</v>
      </c>
      <c r="E8" s="8" t="s">
        <v>145</v>
      </c>
      <c r="F8" s="1" t="s">
        <v>136</v>
      </c>
      <c r="G8" s="1"/>
      <c r="H8" s="1"/>
      <c r="I8" s="1"/>
      <c r="J8" s="1"/>
      <c r="K8" s="1"/>
      <c r="L8" s="1"/>
      <c r="M8" s="7"/>
      <c r="O8" s="14" t="s">
        <v>173</v>
      </c>
      <c r="P8" s="12">
        <f>COUNTIF(F:F,"P")</f>
        <v>17</v>
      </c>
      <c r="R8" s="14" t="s">
        <v>173</v>
      </c>
      <c r="S8" s="12">
        <f>COUNTIF(H:H,"P")</f>
        <v>0</v>
      </c>
      <c r="U8" s="14" t="s">
        <v>173</v>
      </c>
      <c r="V8" s="12">
        <f>COUNTIF(J:J,"P")</f>
        <v>0</v>
      </c>
      <c r="X8" s="14" t="s">
        <v>173</v>
      </c>
      <c r="Y8" s="12">
        <f>COUNTIF(L:L,"P")</f>
        <v>0</v>
      </c>
      <c r="AA8" s="14"/>
      <c r="AB8" s="12"/>
    </row>
    <row r="9" spans="1:28">
      <c r="A9" s="1">
        <v>5</v>
      </c>
      <c r="B9" s="1" t="s">
        <v>32</v>
      </c>
      <c r="C9" s="7" t="s">
        <v>33</v>
      </c>
      <c r="D9" s="3">
        <v>2250564852380</v>
      </c>
      <c r="E9" s="8"/>
      <c r="F9" s="1" t="s">
        <v>137</v>
      </c>
      <c r="G9" s="1"/>
      <c r="H9" s="1"/>
      <c r="I9" s="1"/>
      <c r="J9" s="1"/>
      <c r="K9" s="1"/>
      <c r="L9" s="1"/>
      <c r="M9" s="7"/>
      <c r="O9" s="14" t="s">
        <v>171</v>
      </c>
      <c r="P9" s="12">
        <f>COUNTIF(F:F,"A")</f>
        <v>19</v>
      </c>
      <c r="R9" s="14" t="s">
        <v>171</v>
      </c>
      <c r="S9" s="12">
        <f>COUNTIF(H:H,"A")</f>
        <v>0</v>
      </c>
      <c r="U9" s="14" t="s">
        <v>171</v>
      </c>
      <c r="V9" s="12">
        <f>COUNTIF(J:J,"A")</f>
        <v>0</v>
      </c>
      <c r="X9" s="14" t="s">
        <v>171</v>
      </c>
      <c r="Y9" s="12">
        <f>COUNTIF(L:L,"A")</f>
        <v>0</v>
      </c>
      <c r="AA9" s="14"/>
      <c r="AB9" s="12"/>
    </row>
    <row r="10" spans="1:28">
      <c r="A10" s="1">
        <v>6</v>
      </c>
      <c r="B10" s="1" t="s">
        <v>35</v>
      </c>
      <c r="C10" s="7" t="s">
        <v>36</v>
      </c>
      <c r="D10" s="3">
        <v>2250759494605</v>
      </c>
      <c r="E10" s="8"/>
      <c r="F10" s="1" t="s">
        <v>136</v>
      </c>
      <c r="G10" s="1"/>
      <c r="H10" s="1"/>
      <c r="I10" s="1"/>
      <c r="J10" s="1"/>
      <c r="K10" s="1"/>
      <c r="L10" s="1"/>
      <c r="M10" s="7"/>
      <c r="O10" s="14" t="s">
        <v>172</v>
      </c>
      <c r="P10" s="13">
        <f>P9/(P9+P8)</f>
        <v>0.52777777777777779</v>
      </c>
      <c r="R10" s="14" t="s">
        <v>174</v>
      </c>
      <c r="S10" s="13" t="e">
        <f>S9/(S9+S8)</f>
        <v>#DIV/0!</v>
      </c>
      <c r="U10" s="14" t="s">
        <v>174</v>
      </c>
      <c r="V10" s="13" t="e">
        <f>V9/(V9+V8)</f>
        <v>#DIV/0!</v>
      </c>
      <c r="X10" s="14" t="s">
        <v>174</v>
      </c>
      <c r="Y10" s="13" t="e">
        <f>Y9/(Y9+Y8)</f>
        <v>#DIV/0!</v>
      </c>
      <c r="AA10" s="14"/>
      <c r="AB10" s="13"/>
    </row>
    <row r="11" spans="1:28">
      <c r="A11" s="1">
        <v>7</v>
      </c>
      <c r="B11" s="1" t="s">
        <v>40</v>
      </c>
      <c r="C11" s="7" t="s">
        <v>41</v>
      </c>
      <c r="D11" s="3">
        <v>2250759472336</v>
      </c>
      <c r="E11" s="8" t="s">
        <v>146</v>
      </c>
      <c r="F11" s="1" t="s">
        <v>137</v>
      </c>
      <c r="G11" s="1"/>
      <c r="H11" s="1"/>
      <c r="I11" s="1"/>
      <c r="J11" s="1"/>
      <c r="K11" s="1"/>
      <c r="L11" s="1"/>
      <c r="M11" s="7"/>
    </row>
    <row r="12" spans="1:28">
      <c r="A12" s="1">
        <v>8</v>
      </c>
      <c r="B12" s="1" t="s">
        <v>42</v>
      </c>
      <c r="C12" s="7" t="s">
        <v>43</v>
      </c>
      <c r="D12" s="3">
        <v>2250703382671</v>
      </c>
      <c r="E12" s="8" t="s">
        <v>144</v>
      </c>
      <c r="F12" s="1" t="s">
        <v>136</v>
      </c>
      <c r="G12" s="1"/>
      <c r="H12" s="1"/>
      <c r="I12" s="1"/>
      <c r="J12" s="1"/>
      <c r="K12" s="1"/>
      <c r="L12" s="1"/>
      <c r="M12" s="7"/>
    </row>
    <row r="13" spans="1:28">
      <c r="A13" s="1">
        <v>9</v>
      </c>
      <c r="B13" s="1" t="s">
        <v>44</v>
      </c>
      <c r="C13" s="7" t="s">
        <v>45</v>
      </c>
      <c r="D13" s="3">
        <v>2250713934533</v>
      </c>
      <c r="E13" s="8" t="s">
        <v>146</v>
      </c>
      <c r="F13" s="1" t="s">
        <v>136</v>
      </c>
      <c r="G13" s="1" t="s">
        <v>188</v>
      </c>
      <c r="H13" s="1"/>
      <c r="I13" s="1"/>
      <c r="J13" s="1"/>
      <c r="K13" s="1"/>
      <c r="L13" s="1"/>
      <c r="M13" s="7"/>
    </row>
    <row r="14" spans="1:28" ht="15">
      <c r="A14" s="1">
        <v>10</v>
      </c>
      <c r="B14" s="1" t="s">
        <v>47</v>
      </c>
      <c r="C14" s="7" t="s">
        <v>48</v>
      </c>
      <c r="D14" s="3">
        <v>2250760631164</v>
      </c>
      <c r="E14" s="8" t="s">
        <v>146</v>
      </c>
      <c r="F14" s="1" t="s">
        <v>137</v>
      </c>
      <c r="G14" s="1"/>
      <c r="H14" s="1"/>
      <c r="I14" s="1"/>
      <c r="J14" s="1"/>
      <c r="K14" s="1"/>
      <c r="L14" s="1"/>
      <c r="M14" s="7"/>
      <c r="O14" s="26"/>
      <c r="P14" s="26"/>
      <c r="Q14" s="21" t="s">
        <v>178</v>
      </c>
      <c r="R14" s="21"/>
    </row>
    <row r="15" spans="1:28" ht="15">
      <c r="A15" s="1">
        <v>11</v>
      </c>
      <c r="B15" s="1" t="s">
        <v>50</v>
      </c>
      <c r="C15" s="7" t="s">
        <v>51</v>
      </c>
      <c r="D15" s="3">
        <v>2250759194175</v>
      </c>
      <c r="E15" s="8" t="s">
        <v>146</v>
      </c>
      <c r="F15" s="1" t="s">
        <v>137</v>
      </c>
      <c r="G15" s="1"/>
      <c r="H15" s="1"/>
      <c r="I15" s="1"/>
      <c r="J15" s="1"/>
      <c r="K15" s="1"/>
      <c r="L15" s="1"/>
      <c r="M15" s="7"/>
      <c r="O15" s="21" t="s">
        <v>205</v>
      </c>
      <c r="P15" s="21"/>
      <c r="Q15" s="20">
        <f>P10</f>
        <v>0.52777777777777779</v>
      </c>
      <c r="R15" s="20"/>
    </row>
    <row r="16" spans="1:28" ht="15">
      <c r="A16" s="1">
        <v>12</v>
      </c>
      <c r="B16" s="1" t="s">
        <v>32</v>
      </c>
      <c r="C16" s="7" t="s">
        <v>52</v>
      </c>
      <c r="D16" s="3">
        <v>2250712523365</v>
      </c>
      <c r="E16" s="8" t="s">
        <v>146</v>
      </c>
      <c r="F16" s="1" t="s">
        <v>137</v>
      </c>
      <c r="G16" s="1"/>
      <c r="H16" s="1"/>
      <c r="I16" s="1"/>
      <c r="J16" s="1"/>
      <c r="K16" s="1"/>
      <c r="L16" s="1"/>
      <c r="M16" s="7"/>
      <c r="O16" s="21" t="s">
        <v>202</v>
      </c>
      <c r="P16" s="21"/>
      <c r="Q16" s="20" t="e">
        <f>S10</f>
        <v>#DIV/0!</v>
      </c>
      <c r="R16" s="20"/>
    </row>
    <row r="17" spans="1:26" ht="15">
      <c r="A17" s="1">
        <v>13</v>
      </c>
      <c r="B17" s="1" t="s">
        <v>32</v>
      </c>
      <c r="C17" s="7" t="s">
        <v>53</v>
      </c>
      <c r="D17" s="3">
        <v>2250748055480</v>
      </c>
      <c r="E17" s="8" t="s">
        <v>146</v>
      </c>
      <c r="F17" s="1" t="s">
        <v>137</v>
      </c>
      <c r="G17" s="1"/>
      <c r="H17" s="1"/>
      <c r="I17" s="1"/>
      <c r="J17" s="1"/>
      <c r="K17" s="1"/>
      <c r="L17" s="1"/>
      <c r="M17" s="7"/>
      <c r="O17" s="21" t="s">
        <v>203</v>
      </c>
      <c r="P17" s="21"/>
      <c r="Q17" s="20" t="e">
        <f>V10</f>
        <v>#DIV/0!</v>
      </c>
      <c r="R17" s="20"/>
    </row>
    <row r="18" spans="1:26" ht="15">
      <c r="A18" s="1">
        <v>14</v>
      </c>
      <c r="B18" s="1" t="s">
        <v>32</v>
      </c>
      <c r="C18" s="7" t="s">
        <v>54</v>
      </c>
      <c r="D18" s="3">
        <v>2250777609361</v>
      </c>
      <c r="E18" s="8" t="s">
        <v>146</v>
      </c>
      <c r="F18" s="1" t="s">
        <v>137</v>
      </c>
      <c r="G18" s="1"/>
      <c r="H18" s="1"/>
      <c r="I18" s="1"/>
      <c r="J18" s="1"/>
      <c r="K18" s="1"/>
      <c r="L18" s="1"/>
      <c r="M18" s="7"/>
      <c r="O18" s="21" t="s">
        <v>204</v>
      </c>
      <c r="P18" s="21"/>
      <c r="Q18" s="20" t="e">
        <f>Y10</f>
        <v>#DIV/0!</v>
      </c>
      <c r="R18" s="21"/>
    </row>
    <row r="19" spans="1:26">
      <c r="A19" s="1">
        <v>15</v>
      </c>
      <c r="B19" s="1" t="s">
        <v>44</v>
      </c>
      <c r="C19" s="7" t="s">
        <v>55</v>
      </c>
      <c r="D19" s="3">
        <v>2250714205478</v>
      </c>
      <c r="E19" s="8" t="s">
        <v>147</v>
      </c>
      <c r="F19" s="1" t="s">
        <v>137</v>
      </c>
      <c r="G19" s="1"/>
      <c r="H19" s="1"/>
      <c r="I19" s="1"/>
      <c r="J19" s="1"/>
      <c r="K19" s="1"/>
      <c r="L19" s="1"/>
      <c r="M19" s="7"/>
      <c r="O19" s="29"/>
      <c r="P19" s="29"/>
      <c r="Q19" s="29"/>
      <c r="R19" s="29"/>
    </row>
    <row r="20" spans="1:26">
      <c r="A20" s="1">
        <v>16</v>
      </c>
      <c r="B20" s="1" t="s">
        <v>57</v>
      </c>
      <c r="C20" s="7" t="s">
        <v>56</v>
      </c>
      <c r="D20" s="3">
        <v>2250714038262</v>
      </c>
      <c r="E20" s="8" t="s">
        <v>147</v>
      </c>
      <c r="F20" s="1" t="s">
        <v>136</v>
      </c>
      <c r="G20" s="1"/>
      <c r="H20" s="1"/>
      <c r="I20" s="1"/>
      <c r="J20" s="1"/>
      <c r="K20" s="1"/>
      <c r="L20" s="1"/>
      <c r="M20" s="7"/>
    </row>
    <row r="21" spans="1:26">
      <c r="A21" s="1">
        <v>17</v>
      </c>
      <c r="B21" s="1"/>
      <c r="C21" s="7" t="s">
        <v>58</v>
      </c>
      <c r="D21" s="3">
        <v>2250153865866</v>
      </c>
      <c r="E21" s="8"/>
      <c r="F21" s="1" t="s">
        <v>136</v>
      </c>
      <c r="G21" s="1"/>
      <c r="H21" s="1"/>
      <c r="I21" s="1"/>
      <c r="J21" s="1"/>
      <c r="K21" s="1"/>
      <c r="L21" s="1"/>
      <c r="M21" s="7"/>
    </row>
    <row r="22" spans="1:26">
      <c r="A22" s="1">
        <v>18</v>
      </c>
      <c r="B22" s="1" t="s">
        <v>59</v>
      </c>
      <c r="C22" s="7" t="s">
        <v>60</v>
      </c>
      <c r="D22" s="3">
        <v>2250759922332</v>
      </c>
      <c r="E22" s="8" t="s">
        <v>148</v>
      </c>
      <c r="F22" s="1" t="s">
        <v>136</v>
      </c>
      <c r="G22" s="1"/>
      <c r="H22" s="1"/>
      <c r="I22" s="1"/>
      <c r="J22" s="1"/>
      <c r="K22" s="1"/>
      <c r="L22" s="1"/>
      <c r="M22" s="7"/>
    </row>
    <row r="23" spans="1:26">
      <c r="A23" s="1">
        <v>19</v>
      </c>
      <c r="B23" s="1" t="s">
        <v>32</v>
      </c>
      <c r="C23" s="7" t="s">
        <v>61</v>
      </c>
      <c r="D23" s="3"/>
      <c r="E23" s="8" t="s">
        <v>148</v>
      </c>
      <c r="F23" s="1" t="s">
        <v>136</v>
      </c>
      <c r="G23" s="1"/>
      <c r="H23" s="1"/>
      <c r="I23" s="1"/>
      <c r="J23" s="1"/>
      <c r="K23" s="1"/>
      <c r="L23" s="1"/>
      <c r="M23" s="7"/>
    </row>
    <row r="24" spans="1:26">
      <c r="A24" s="1">
        <v>23</v>
      </c>
      <c r="B24" s="1"/>
      <c r="C24" s="7" t="s">
        <v>67</v>
      </c>
      <c r="D24" s="3">
        <v>2250544938393</v>
      </c>
      <c r="E24" s="8"/>
      <c r="F24" s="1" t="s">
        <v>137</v>
      </c>
      <c r="G24" s="1"/>
      <c r="H24" s="1"/>
      <c r="I24" s="1"/>
      <c r="J24" s="1"/>
      <c r="K24" s="1"/>
      <c r="L24" s="1"/>
      <c r="M24" s="7"/>
    </row>
    <row r="25" spans="1:26">
      <c r="A25" s="1">
        <v>24</v>
      </c>
      <c r="B25" s="1"/>
      <c r="C25" s="7" t="s">
        <v>68</v>
      </c>
      <c r="D25" s="3"/>
      <c r="E25" s="8"/>
      <c r="F25" s="1" t="s">
        <v>136</v>
      </c>
      <c r="G25" s="1"/>
      <c r="H25" s="1"/>
      <c r="I25" s="1"/>
      <c r="J25" s="1"/>
      <c r="K25" s="1"/>
      <c r="L25" s="1"/>
      <c r="M25" s="7"/>
    </row>
    <row r="26" spans="1:26">
      <c r="A26" s="1">
        <v>25</v>
      </c>
      <c r="B26" s="1"/>
      <c r="C26" s="7" t="s">
        <v>69</v>
      </c>
      <c r="D26" s="3">
        <v>2250150315539</v>
      </c>
      <c r="E26" s="8"/>
      <c r="F26" s="1" t="s">
        <v>137</v>
      </c>
      <c r="G26" s="1"/>
      <c r="H26" s="1"/>
      <c r="I26" s="1"/>
      <c r="J26" s="1"/>
      <c r="K26" s="1"/>
      <c r="L26" s="1"/>
      <c r="M26" s="7"/>
    </row>
    <row r="27" spans="1:26">
      <c r="A27" s="1">
        <v>26</v>
      </c>
      <c r="B27" s="1"/>
      <c r="C27" s="7" t="s">
        <v>74</v>
      </c>
      <c r="D27" s="3">
        <v>2250150520571</v>
      </c>
      <c r="E27" s="8"/>
      <c r="F27" s="1"/>
      <c r="G27" s="1"/>
      <c r="H27" s="1"/>
      <c r="I27" s="1"/>
      <c r="J27" s="1"/>
      <c r="K27" s="1"/>
      <c r="L27" s="1"/>
      <c r="M27" s="7"/>
      <c r="Z27" t="s">
        <v>191</v>
      </c>
    </row>
    <row r="28" spans="1:26">
      <c r="A28" s="1">
        <v>27</v>
      </c>
      <c r="B28" s="1" t="s">
        <v>112</v>
      </c>
      <c r="C28" s="7" t="s">
        <v>75</v>
      </c>
      <c r="D28" s="3">
        <v>2250709792965</v>
      </c>
      <c r="E28" s="8"/>
      <c r="F28" s="1" t="s">
        <v>136</v>
      </c>
      <c r="G28" s="1"/>
      <c r="H28" s="1"/>
      <c r="I28" s="1"/>
      <c r="J28" s="1"/>
      <c r="K28" s="1"/>
      <c r="L28" s="1"/>
      <c r="M28" s="7"/>
    </row>
    <row r="29" spans="1:26">
      <c r="A29" s="1">
        <v>28</v>
      </c>
      <c r="B29" s="1"/>
      <c r="C29" s="7" t="s">
        <v>76</v>
      </c>
      <c r="D29" s="3">
        <v>2250596918737</v>
      </c>
      <c r="E29" s="8"/>
      <c r="F29" s="1"/>
      <c r="G29" s="1"/>
      <c r="H29" s="1"/>
      <c r="I29" s="1"/>
      <c r="J29" s="1"/>
      <c r="K29" s="1"/>
      <c r="L29" s="1"/>
      <c r="M29" s="7"/>
    </row>
    <row r="30" spans="1:26">
      <c r="A30" s="1">
        <v>29</v>
      </c>
      <c r="B30" s="1"/>
      <c r="C30" s="7" t="s">
        <v>33</v>
      </c>
      <c r="D30" s="3">
        <v>2250141924365</v>
      </c>
      <c r="E30" s="8"/>
      <c r="F30" s="1"/>
      <c r="G30" s="1"/>
      <c r="H30" s="1"/>
      <c r="I30" s="1"/>
      <c r="J30" s="1"/>
      <c r="K30" s="1"/>
      <c r="L30" s="1"/>
      <c r="M30" s="7"/>
    </row>
    <row r="31" spans="1:26">
      <c r="A31" s="1">
        <v>30</v>
      </c>
      <c r="B31" s="1"/>
      <c r="C31" s="7" t="s">
        <v>77</v>
      </c>
      <c r="D31" s="3"/>
      <c r="E31" s="8"/>
      <c r="F31" s="1"/>
      <c r="G31" s="1"/>
      <c r="H31" s="1"/>
      <c r="I31" s="1"/>
      <c r="J31" s="1"/>
      <c r="K31" s="1"/>
      <c r="L31" s="1"/>
      <c r="M31" s="7"/>
    </row>
    <row r="32" spans="1:26">
      <c r="A32" s="1">
        <v>31</v>
      </c>
      <c r="B32" s="1"/>
      <c r="C32" s="7" t="s">
        <v>79</v>
      </c>
      <c r="D32" s="3">
        <v>2250151324300</v>
      </c>
      <c r="E32" s="8" t="s">
        <v>147</v>
      </c>
      <c r="F32" s="1" t="s">
        <v>137</v>
      </c>
      <c r="G32" s="1"/>
      <c r="H32" s="1"/>
      <c r="I32" s="1"/>
      <c r="J32" s="1"/>
      <c r="K32" s="1"/>
      <c r="L32" s="1"/>
      <c r="M32" s="7"/>
    </row>
    <row r="33" spans="1:13">
      <c r="A33" s="1">
        <v>32</v>
      </c>
      <c r="B33" s="1" t="s">
        <v>81</v>
      </c>
      <c r="C33" s="7" t="s">
        <v>82</v>
      </c>
      <c r="D33" s="3">
        <v>2250759844124</v>
      </c>
      <c r="E33" s="8" t="s">
        <v>147</v>
      </c>
      <c r="F33" s="1" t="s">
        <v>137</v>
      </c>
      <c r="G33" s="1"/>
      <c r="H33" s="1"/>
      <c r="I33" s="1"/>
      <c r="J33" s="1"/>
      <c r="K33" s="1"/>
      <c r="L33" s="1"/>
      <c r="M33" s="7"/>
    </row>
    <row r="34" spans="1:13">
      <c r="A34" s="1">
        <v>33</v>
      </c>
      <c r="B34" s="1" t="s">
        <v>84</v>
      </c>
      <c r="C34" s="7" t="s">
        <v>85</v>
      </c>
      <c r="D34" s="3">
        <v>2250769332840</v>
      </c>
      <c r="E34" s="8"/>
      <c r="F34" s="1" t="s">
        <v>137</v>
      </c>
      <c r="G34" s="1"/>
      <c r="H34" s="1"/>
      <c r="I34" s="1"/>
      <c r="J34" s="1"/>
      <c r="K34" s="1"/>
      <c r="L34" s="1"/>
      <c r="M34" s="7"/>
    </row>
    <row r="35" spans="1:13">
      <c r="A35" s="1">
        <v>34</v>
      </c>
      <c r="B35" s="1" t="s">
        <v>87</v>
      </c>
      <c r="C35" s="7" t="s">
        <v>88</v>
      </c>
      <c r="D35" s="3">
        <v>2250747186965</v>
      </c>
      <c r="E35" s="8"/>
      <c r="F35" s="1" t="s">
        <v>137</v>
      </c>
      <c r="G35" s="1"/>
      <c r="H35" s="1"/>
      <c r="I35" s="1"/>
      <c r="J35" s="1"/>
      <c r="K35" s="1"/>
      <c r="L35" s="1"/>
      <c r="M35" s="7"/>
    </row>
    <row r="36" spans="1:13">
      <c r="A36" s="1">
        <v>35</v>
      </c>
      <c r="B36" s="1" t="s">
        <v>90</v>
      </c>
      <c r="C36" s="7" t="s">
        <v>91</v>
      </c>
      <c r="D36" s="3">
        <v>2250757102682</v>
      </c>
      <c r="E36" s="8"/>
      <c r="F36" s="1" t="s">
        <v>138</v>
      </c>
      <c r="G36" s="1"/>
      <c r="H36" s="1"/>
      <c r="I36" s="1"/>
      <c r="J36" s="1"/>
      <c r="K36" s="1"/>
      <c r="L36" s="1"/>
      <c r="M36" s="7"/>
    </row>
    <row r="37" spans="1:13">
      <c r="A37" s="1">
        <v>36</v>
      </c>
      <c r="B37" s="1" t="s">
        <v>94</v>
      </c>
      <c r="C37" s="7" t="s">
        <v>92</v>
      </c>
      <c r="D37" s="3">
        <v>2250767486748</v>
      </c>
      <c r="E37" s="8"/>
      <c r="F37" s="1" t="s">
        <v>138</v>
      </c>
      <c r="G37" s="1"/>
      <c r="H37" s="1"/>
      <c r="I37" s="1"/>
      <c r="J37" s="1"/>
      <c r="K37" s="1"/>
      <c r="L37" s="1"/>
      <c r="M37" s="7"/>
    </row>
    <row r="38" spans="1:13">
      <c r="A38" s="1">
        <v>37</v>
      </c>
      <c r="B38" s="1" t="s">
        <v>100</v>
      </c>
      <c r="C38" s="7" t="s">
        <v>93</v>
      </c>
      <c r="D38" s="3">
        <v>2250779005712</v>
      </c>
      <c r="E38" s="8"/>
      <c r="F38" s="1" t="s">
        <v>138</v>
      </c>
      <c r="G38" s="1"/>
      <c r="H38" s="1"/>
      <c r="I38" s="1"/>
      <c r="J38" s="1"/>
      <c r="K38" s="1"/>
      <c r="L38" s="1"/>
      <c r="M38" s="7"/>
    </row>
    <row r="39" spans="1:13">
      <c r="A39" s="1">
        <v>38</v>
      </c>
      <c r="B39" s="1" t="s">
        <v>95</v>
      </c>
      <c r="C39" s="7" t="s">
        <v>96</v>
      </c>
      <c r="D39" s="3">
        <v>2250759840149</v>
      </c>
      <c r="E39" s="8"/>
      <c r="F39" s="1"/>
      <c r="G39" s="1"/>
      <c r="H39" s="1"/>
      <c r="I39" s="1"/>
      <c r="J39" s="1"/>
      <c r="K39" s="1"/>
      <c r="L39" s="1"/>
      <c r="M39" s="7"/>
    </row>
    <row r="40" spans="1:13">
      <c r="A40" s="1">
        <v>39</v>
      </c>
      <c r="B40" s="1" t="s">
        <v>42</v>
      </c>
      <c r="C40" s="7" t="s">
        <v>199</v>
      </c>
      <c r="D40" s="3">
        <v>2250709193369</v>
      </c>
      <c r="E40" s="8"/>
      <c r="F40" s="1"/>
      <c r="G40" s="1"/>
      <c r="H40" s="1"/>
      <c r="I40" s="1"/>
      <c r="J40" s="1"/>
      <c r="K40" s="1"/>
      <c r="L40" s="1"/>
      <c r="M40" s="7"/>
    </row>
    <row r="41" spans="1:13">
      <c r="A41" s="1">
        <v>40</v>
      </c>
      <c r="B41" s="1"/>
      <c r="C41" s="7" t="s">
        <v>101</v>
      </c>
      <c r="D41" s="3">
        <v>2250566552569</v>
      </c>
      <c r="E41" s="8"/>
      <c r="F41" s="1"/>
      <c r="G41" s="1"/>
      <c r="H41" s="1"/>
      <c r="I41" s="1"/>
      <c r="J41" s="1"/>
      <c r="K41" s="1"/>
      <c r="L41" s="1"/>
      <c r="M41" s="7"/>
    </row>
    <row r="42" spans="1:13">
      <c r="A42" s="1">
        <v>41</v>
      </c>
      <c r="B42" s="1" t="s">
        <v>105</v>
      </c>
      <c r="C42" s="7" t="s">
        <v>103</v>
      </c>
      <c r="D42" s="3">
        <v>2250101775707</v>
      </c>
      <c r="E42" s="8"/>
      <c r="F42" s="1"/>
      <c r="G42" s="1"/>
      <c r="H42" s="1"/>
      <c r="I42" s="1"/>
      <c r="J42" s="1"/>
      <c r="K42" s="1"/>
      <c r="L42" s="1"/>
      <c r="M42" s="7"/>
    </row>
    <row r="43" spans="1:13">
      <c r="A43" s="1">
        <v>42</v>
      </c>
      <c r="B43" s="1"/>
      <c r="C43" s="7" t="s">
        <v>106</v>
      </c>
      <c r="D43" s="3"/>
      <c r="E43" s="8"/>
      <c r="F43" s="1"/>
      <c r="G43" s="1"/>
      <c r="H43" s="1"/>
      <c r="I43" s="1"/>
      <c r="J43" s="1"/>
      <c r="K43" s="1"/>
      <c r="L43" s="1"/>
      <c r="M43" s="7"/>
    </row>
    <row r="44" spans="1:13">
      <c r="A44" s="1">
        <v>43</v>
      </c>
      <c r="B44" s="1"/>
      <c r="C44" s="7" t="s">
        <v>107</v>
      </c>
      <c r="D44" s="3">
        <v>2250507305833</v>
      </c>
      <c r="E44" s="8"/>
      <c r="F44" s="1"/>
      <c r="G44" s="1"/>
      <c r="H44" s="1"/>
      <c r="I44" s="1"/>
      <c r="J44" s="1"/>
      <c r="K44" s="1"/>
      <c r="L44" s="1"/>
      <c r="M44" s="7"/>
    </row>
    <row r="45" spans="1:13">
      <c r="A45" s="1">
        <v>44</v>
      </c>
      <c r="B45" s="1"/>
      <c r="C45" s="7" t="s">
        <v>109</v>
      </c>
      <c r="D45" s="3">
        <v>2250788893541</v>
      </c>
      <c r="E45" s="8"/>
      <c r="F45" s="1"/>
      <c r="G45" s="1"/>
      <c r="H45" s="1"/>
      <c r="I45" s="1"/>
      <c r="J45" s="1"/>
      <c r="K45" s="1"/>
      <c r="L45" s="1"/>
      <c r="M45" s="7"/>
    </row>
    <row r="46" spans="1:13">
      <c r="A46" s="1">
        <v>45</v>
      </c>
      <c r="B46" s="1"/>
      <c r="C46" s="7" t="s">
        <v>110</v>
      </c>
      <c r="D46" s="3">
        <v>2250757354449</v>
      </c>
      <c r="E46" s="8"/>
      <c r="F46" s="1" t="s">
        <v>136</v>
      </c>
      <c r="G46" s="1"/>
      <c r="H46" s="1"/>
      <c r="I46" s="1"/>
      <c r="J46" s="1"/>
      <c r="K46" s="1"/>
      <c r="L46" s="1"/>
      <c r="M46" s="7"/>
    </row>
    <row r="47" spans="1:13">
      <c r="A47" s="1">
        <v>46</v>
      </c>
      <c r="B47" s="1"/>
      <c r="C47" s="7" t="s">
        <v>111</v>
      </c>
      <c r="D47" s="3">
        <v>2250767008346</v>
      </c>
      <c r="E47" s="8"/>
      <c r="F47" s="1" t="s">
        <v>136</v>
      </c>
      <c r="G47" s="1"/>
      <c r="H47" s="1"/>
      <c r="I47" s="1"/>
      <c r="J47" s="1"/>
      <c r="K47" s="1"/>
      <c r="L47" s="1"/>
      <c r="M47" s="7"/>
    </row>
    <row r="48" spans="1:13">
      <c r="A48" s="1">
        <v>47</v>
      </c>
      <c r="B48" s="1" t="s">
        <v>113</v>
      </c>
      <c r="C48" s="7" t="s">
        <v>114</v>
      </c>
      <c r="D48" s="3">
        <v>2250140072250</v>
      </c>
      <c r="E48" s="8"/>
      <c r="F48" s="1"/>
      <c r="G48" s="1"/>
      <c r="H48" s="1"/>
      <c r="I48" s="1"/>
      <c r="J48" s="1"/>
      <c r="K48" s="1"/>
      <c r="L48" s="1"/>
      <c r="M48" s="7"/>
    </row>
    <row r="49" spans="1:13">
      <c r="A49" s="1">
        <v>48</v>
      </c>
      <c r="B49" s="1" t="s">
        <v>123</v>
      </c>
      <c r="C49" s="7" t="s">
        <v>115</v>
      </c>
      <c r="D49" s="3">
        <v>2250709520439</v>
      </c>
      <c r="E49" s="8"/>
      <c r="F49" s="1" t="s">
        <v>136</v>
      </c>
      <c r="G49" s="1"/>
      <c r="H49" s="1"/>
      <c r="I49" s="1"/>
      <c r="J49" s="1"/>
      <c r="K49" s="1"/>
      <c r="L49" s="1"/>
      <c r="M49" s="7"/>
    </row>
    <row r="50" spans="1:13">
      <c r="A50" s="1">
        <v>49</v>
      </c>
      <c r="B50" s="1"/>
      <c r="C50" s="7" t="s">
        <v>116</v>
      </c>
      <c r="D50" s="3">
        <v>2250705071561</v>
      </c>
      <c r="E50" s="8"/>
      <c r="F50" s="1"/>
      <c r="G50" s="1"/>
      <c r="H50" s="1"/>
      <c r="I50" s="1"/>
      <c r="J50" s="1"/>
      <c r="K50" s="1"/>
      <c r="L50" s="1"/>
      <c r="M50" s="7"/>
    </row>
    <row r="51" spans="1:13">
      <c r="A51" s="1">
        <v>50</v>
      </c>
      <c r="B51" s="1"/>
      <c r="C51" s="7" t="s">
        <v>125</v>
      </c>
      <c r="D51" s="4">
        <v>2250705864911</v>
      </c>
      <c r="E51" s="8"/>
      <c r="F51" s="1"/>
      <c r="G51" s="1"/>
      <c r="H51" s="1"/>
      <c r="I51" s="1"/>
      <c r="J51" s="1"/>
      <c r="K51" s="1"/>
      <c r="L51" s="1"/>
      <c r="M51" s="7"/>
    </row>
    <row r="52" spans="1:13">
      <c r="A52" s="1">
        <v>51</v>
      </c>
      <c r="B52" s="1" t="s">
        <v>127</v>
      </c>
      <c r="C52" s="7" t="s">
        <v>128</v>
      </c>
      <c r="D52" s="3">
        <v>2250713998079</v>
      </c>
      <c r="E52" s="8"/>
      <c r="F52" s="1" t="s">
        <v>136</v>
      </c>
      <c r="G52" s="1"/>
      <c r="H52" s="1"/>
      <c r="I52" s="1"/>
      <c r="J52" s="1"/>
      <c r="K52" s="1"/>
      <c r="L52" s="1"/>
      <c r="M52" s="7"/>
    </row>
    <row r="53" spans="1:13">
      <c r="A53" s="1">
        <v>52</v>
      </c>
      <c r="B53" s="1" t="s">
        <v>130</v>
      </c>
      <c r="C53" s="7" t="s">
        <v>131</v>
      </c>
      <c r="D53" s="3">
        <v>2250767322354</v>
      </c>
      <c r="E53" s="8"/>
      <c r="F53" s="1" t="s">
        <v>137</v>
      </c>
      <c r="G53" s="1"/>
      <c r="H53" s="1"/>
      <c r="I53" s="1"/>
      <c r="J53" s="1"/>
      <c r="K53" s="1"/>
      <c r="L53" s="1"/>
      <c r="M53" s="7"/>
    </row>
    <row r="54" spans="1:13">
      <c r="A54" s="1">
        <v>53</v>
      </c>
      <c r="B54" s="1" t="s">
        <v>132</v>
      </c>
      <c r="C54" s="7" t="s">
        <v>133</v>
      </c>
      <c r="D54" s="3">
        <v>2250749303420</v>
      </c>
      <c r="E54" s="8"/>
      <c r="F54" s="1"/>
      <c r="G54" s="1"/>
      <c r="H54" s="1"/>
      <c r="I54" s="1"/>
      <c r="J54" s="1"/>
      <c r="K54" s="1"/>
      <c r="L54" s="1"/>
      <c r="M54" s="7"/>
    </row>
    <row r="55" spans="1:13">
      <c r="A55" s="1">
        <v>54</v>
      </c>
      <c r="B55" s="1"/>
      <c r="C55" s="7" t="s">
        <v>135</v>
      </c>
      <c r="D55" s="3">
        <v>2250142727109</v>
      </c>
      <c r="E55" s="8"/>
      <c r="F55" s="1" t="s">
        <v>136</v>
      </c>
      <c r="G55" s="1"/>
      <c r="H55" s="1"/>
      <c r="I55" s="1"/>
      <c r="J55" s="1"/>
      <c r="K55" s="1"/>
      <c r="L55" s="1"/>
      <c r="M55" s="7"/>
    </row>
    <row r="56" spans="1:13">
      <c r="A56" s="1">
        <v>55</v>
      </c>
      <c r="B56" s="1"/>
      <c r="C56" s="7" t="s">
        <v>155</v>
      </c>
      <c r="D56" s="3">
        <v>2250747424318</v>
      </c>
      <c r="E56" s="8"/>
      <c r="F56" s="1"/>
      <c r="G56" s="1"/>
      <c r="H56" s="1"/>
      <c r="I56" s="1"/>
      <c r="J56" s="1"/>
      <c r="K56" s="1"/>
      <c r="L56" s="1"/>
      <c r="M56" s="7"/>
    </row>
    <row r="57" spans="1:13">
      <c r="A57" s="1">
        <v>56</v>
      </c>
      <c r="B57" s="1"/>
      <c r="C57" s="7" t="s">
        <v>156</v>
      </c>
      <c r="D57" s="3">
        <v>2250152275819</v>
      </c>
      <c r="E57" s="8"/>
      <c r="F57" s="1"/>
      <c r="G57" s="1"/>
      <c r="H57" s="1"/>
      <c r="I57" s="1"/>
      <c r="J57" s="1"/>
      <c r="K57" s="1"/>
      <c r="L57" s="1"/>
      <c r="M57" s="7"/>
    </row>
    <row r="58" spans="1:13">
      <c r="A58" s="1">
        <v>57</v>
      </c>
      <c r="B58" s="1"/>
      <c r="C58" s="7" t="s">
        <v>157</v>
      </c>
      <c r="D58" s="3">
        <v>2250758244460</v>
      </c>
      <c r="E58" s="8"/>
      <c r="F58" s="1"/>
      <c r="G58" s="1"/>
      <c r="H58" s="1"/>
      <c r="I58" s="1"/>
      <c r="J58" s="1"/>
      <c r="K58" s="1"/>
      <c r="L58" s="1"/>
      <c r="M58" s="7"/>
    </row>
    <row r="59" spans="1:13">
      <c r="A59" s="1">
        <v>58</v>
      </c>
      <c r="B59" s="1"/>
      <c r="C59" s="7" t="s">
        <v>158</v>
      </c>
      <c r="D59" s="3">
        <v>2250594876100</v>
      </c>
      <c r="E59" s="8"/>
      <c r="F59" s="1"/>
      <c r="G59" s="1"/>
      <c r="H59" s="1"/>
      <c r="I59" s="1"/>
      <c r="J59" s="1"/>
      <c r="K59" s="1"/>
      <c r="L59" s="1"/>
      <c r="M59" s="7"/>
    </row>
    <row r="60" spans="1:13">
      <c r="A60" s="1">
        <v>60</v>
      </c>
      <c r="B60" s="1"/>
      <c r="C60" s="7" t="s">
        <v>161</v>
      </c>
      <c r="D60" s="3">
        <v>2250595321849</v>
      </c>
      <c r="E60" s="8"/>
      <c r="F60" s="1"/>
      <c r="G60" s="1"/>
      <c r="H60" s="1"/>
      <c r="I60" s="1"/>
      <c r="J60" s="1"/>
      <c r="K60" s="1"/>
      <c r="L60" s="1"/>
      <c r="M60" s="7"/>
    </row>
    <row r="61" spans="1:13">
      <c r="A61" s="1">
        <v>61</v>
      </c>
      <c r="B61" s="1" t="s">
        <v>162</v>
      </c>
      <c r="C61" s="1" t="s">
        <v>163</v>
      </c>
      <c r="D61" s="3">
        <v>2250798250548</v>
      </c>
      <c r="E61" s="8"/>
      <c r="F61" s="1" t="s">
        <v>136</v>
      </c>
      <c r="G61" s="1"/>
      <c r="H61" s="1"/>
      <c r="I61" s="1"/>
      <c r="J61" s="1"/>
      <c r="K61" s="1"/>
      <c r="L61" s="1"/>
      <c r="M61" s="7"/>
    </row>
    <row r="62" spans="1:13">
      <c r="A62" s="1">
        <v>62</v>
      </c>
      <c r="B62" s="1" t="s">
        <v>165</v>
      </c>
      <c r="C62" s="1" t="s">
        <v>166</v>
      </c>
      <c r="D62" s="3">
        <v>2250777235405</v>
      </c>
      <c r="E62" s="8"/>
      <c r="F62" s="1"/>
      <c r="G62" s="1"/>
      <c r="H62" s="1"/>
      <c r="I62" s="1"/>
      <c r="J62" s="1"/>
      <c r="K62" s="1"/>
      <c r="L62" s="1"/>
      <c r="M62" s="7"/>
    </row>
    <row r="63" spans="1:13">
      <c r="A63" s="1">
        <v>63</v>
      </c>
      <c r="B63" s="1"/>
      <c r="C63" s="1" t="s">
        <v>169</v>
      </c>
      <c r="D63" s="3">
        <v>2252575853889</v>
      </c>
      <c r="E63" s="8"/>
      <c r="F63" s="1"/>
      <c r="G63" s="1"/>
      <c r="H63" s="1"/>
      <c r="I63" s="1"/>
      <c r="J63" s="1"/>
      <c r="K63" s="1"/>
      <c r="L63" s="1"/>
      <c r="M63" s="7"/>
    </row>
    <row r="64" spans="1:13">
      <c r="A64" s="1">
        <v>64</v>
      </c>
      <c r="B64" s="1" t="s">
        <v>196</v>
      </c>
      <c r="C64" s="7" t="s">
        <v>197</v>
      </c>
      <c r="D64" s="3">
        <v>2250757977787</v>
      </c>
      <c r="E64" s="8"/>
      <c r="F64" s="1" t="s">
        <v>136</v>
      </c>
      <c r="G64" s="1"/>
      <c r="H64" s="1"/>
      <c r="I64" s="1"/>
      <c r="J64" s="1"/>
      <c r="K64" s="1"/>
      <c r="L64" s="1"/>
      <c r="M64" s="7"/>
    </row>
    <row r="65" spans="1:13">
      <c r="A65" s="1">
        <v>65</v>
      </c>
      <c r="B65" s="1" t="s">
        <v>196</v>
      </c>
      <c r="C65" s="7" t="s">
        <v>198</v>
      </c>
      <c r="D65" s="3">
        <v>2250779585355</v>
      </c>
      <c r="E65" s="8"/>
      <c r="F65" s="1" t="s">
        <v>136</v>
      </c>
      <c r="G65" s="1"/>
      <c r="H65" s="1"/>
      <c r="I65" s="1"/>
      <c r="J65" s="1"/>
      <c r="K65" s="1"/>
      <c r="L65" s="1"/>
      <c r="M65" s="7"/>
    </row>
    <row r="66" spans="1:13">
      <c r="A66" s="1">
        <v>66</v>
      </c>
      <c r="B66" s="1"/>
      <c r="C66" s="7"/>
      <c r="D66" s="3"/>
      <c r="E66" s="8"/>
      <c r="F66" s="1"/>
      <c r="G66" s="1"/>
      <c r="H66" s="1"/>
      <c r="I66" s="1"/>
      <c r="J66" s="1"/>
      <c r="K66" s="1"/>
      <c r="L66" s="1"/>
      <c r="M66" s="7"/>
    </row>
    <row r="67" spans="1:13">
      <c r="A67" s="1">
        <v>67</v>
      </c>
      <c r="B67" s="1"/>
      <c r="C67" s="7"/>
      <c r="D67" s="3"/>
      <c r="E67" s="8"/>
      <c r="F67" s="1"/>
      <c r="G67" s="1"/>
      <c r="H67" s="1"/>
      <c r="I67" s="1"/>
      <c r="J67" s="1"/>
      <c r="K67" s="1"/>
      <c r="L67" s="1"/>
      <c r="M67" s="7"/>
    </row>
    <row r="68" spans="1:13">
      <c r="A68" s="1">
        <v>68</v>
      </c>
      <c r="B68" s="1"/>
      <c r="C68" s="7"/>
      <c r="D68" s="3"/>
      <c r="E68" s="8"/>
      <c r="F68" s="1"/>
      <c r="G68" s="1"/>
      <c r="H68" s="1"/>
      <c r="I68" s="1"/>
      <c r="J68" s="1"/>
      <c r="K68" s="1"/>
      <c r="L68" s="1"/>
      <c r="M68" s="7"/>
    </row>
    <row r="69" spans="1:13">
      <c r="A69" s="1">
        <v>69</v>
      </c>
      <c r="B69" s="1"/>
      <c r="C69" s="7"/>
      <c r="D69" s="3"/>
      <c r="E69" s="8"/>
      <c r="F69" s="1"/>
      <c r="G69" s="1"/>
      <c r="H69" s="1"/>
      <c r="I69" s="1"/>
      <c r="J69" s="1"/>
      <c r="K69" s="1"/>
      <c r="L69" s="1"/>
      <c r="M69" s="7"/>
    </row>
    <row r="70" spans="1:13">
      <c r="A70" s="1">
        <v>70</v>
      </c>
      <c r="B70" s="1"/>
      <c r="C70" s="7"/>
      <c r="D70" s="3"/>
      <c r="E70" s="8"/>
      <c r="F70" s="1"/>
      <c r="G70" s="1"/>
      <c r="H70" s="1"/>
      <c r="I70" s="1"/>
      <c r="J70" s="1"/>
      <c r="K70" s="1"/>
      <c r="L70" s="1"/>
      <c r="M70" s="7"/>
    </row>
    <row r="71" spans="1:13">
      <c r="A71" s="1">
        <v>71</v>
      </c>
      <c r="B71" s="1"/>
      <c r="C71" s="7"/>
      <c r="D71" s="1"/>
      <c r="E71" s="8"/>
      <c r="F71" s="1"/>
      <c r="G71" s="1"/>
      <c r="H71" s="1"/>
      <c r="I71" s="1"/>
      <c r="J71" s="1"/>
      <c r="K71" s="1"/>
      <c r="L71" s="1"/>
      <c r="M71" s="7"/>
    </row>
    <row r="72" spans="1:13">
      <c r="A72" s="1">
        <v>72</v>
      </c>
      <c r="B72" s="1"/>
      <c r="C72" s="7"/>
      <c r="D72" s="1"/>
      <c r="E72" s="8"/>
      <c r="F72" s="1"/>
      <c r="G72" s="1"/>
      <c r="H72" s="1"/>
      <c r="I72" s="1"/>
      <c r="J72" s="1"/>
      <c r="K72" s="1"/>
      <c r="L72" s="1"/>
      <c r="M72" s="7"/>
    </row>
    <row r="73" spans="1:13">
      <c r="A73" s="1">
        <v>73</v>
      </c>
      <c r="B73" s="1"/>
      <c r="C73" s="7"/>
      <c r="D73" s="1"/>
      <c r="E73" s="8"/>
      <c r="F73" s="1"/>
      <c r="G73" s="1"/>
      <c r="H73" s="1"/>
      <c r="I73" s="1"/>
      <c r="J73" s="1"/>
      <c r="K73" s="1"/>
      <c r="L73" s="1"/>
      <c r="M73" s="7"/>
    </row>
    <row r="74" spans="1:13">
      <c r="A74" s="1">
        <v>74</v>
      </c>
      <c r="B74" s="1"/>
      <c r="C74" s="7"/>
      <c r="D74" s="1"/>
      <c r="E74" s="8"/>
      <c r="F74" s="1"/>
      <c r="G74" s="1"/>
      <c r="H74" s="1"/>
      <c r="I74" s="1"/>
      <c r="J74" s="1"/>
      <c r="K74" s="1"/>
      <c r="L74" s="1"/>
      <c r="M74" s="7"/>
    </row>
    <row r="75" spans="1:13">
      <c r="A75" s="1">
        <v>75</v>
      </c>
      <c r="B75" s="1"/>
      <c r="C75" s="7"/>
      <c r="D75" s="1"/>
      <c r="E75" s="8"/>
      <c r="F75" s="1"/>
      <c r="G75" s="1"/>
      <c r="H75" s="1"/>
      <c r="I75" s="1"/>
      <c r="J75" s="1"/>
      <c r="K75" s="1"/>
      <c r="L75" s="1"/>
      <c r="M75" s="7"/>
    </row>
    <row r="76" spans="1:13">
      <c r="A76" s="1">
        <v>76</v>
      </c>
      <c r="B76" s="1"/>
      <c r="C76" s="7"/>
      <c r="D76" s="1"/>
      <c r="E76" s="8"/>
      <c r="F76" s="1"/>
      <c r="G76" s="1"/>
      <c r="H76" s="1"/>
      <c r="I76" s="1"/>
      <c r="J76" s="1"/>
      <c r="K76" s="1"/>
      <c r="L76" s="1"/>
      <c r="M76" s="7"/>
    </row>
    <row r="77" spans="1:13">
      <c r="A77" s="1">
        <v>80</v>
      </c>
      <c r="B77" s="1"/>
      <c r="C77" s="7"/>
      <c r="D77" s="1"/>
      <c r="E77" s="8"/>
      <c r="F77" s="1"/>
      <c r="G77" s="1"/>
      <c r="H77" s="1"/>
      <c r="I77" s="1"/>
      <c r="J77" s="1"/>
      <c r="K77" s="1"/>
      <c r="L77" s="1"/>
      <c r="M77" s="7"/>
    </row>
    <row r="78" spans="1:13">
      <c r="A78" s="1">
        <v>81</v>
      </c>
      <c r="B78" s="1"/>
      <c r="C78" s="7"/>
      <c r="D78" s="1"/>
      <c r="E78" s="8"/>
      <c r="F78" s="1"/>
      <c r="G78" s="1"/>
      <c r="H78" s="1"/>
      <c r="I78" s="1"/>
      <c r="J78" s="1"/>
      <c r="K78" s="1"/>
      <c r="L78" s="1"/>
      <c r="M78" s="7"/>
    </row>
    <row r="79" spans="1:13">
      <c r="A79" s="1">
        <v>82</v>
      </c>
      <c r="B79" s="1"/>
      <c r="C79" s="7"/>
      <c r="D79" s="1"/>
      <c r="E79" s="8"/>
      <c r="F79" s="1"/>
      <c r="G79" s="1"/>
      <c r="H79" s="1"/>
      <c r="I79" s="1"/>
      <c r="J79" s="1"/>
      <c r="K79" s="1"/>
      <c r="L79" s="1"/>
      <c r="M79" s="7"/>
    </row>
    <row r="80" spans="1:13">
      <c r="A80" s="1">
        <v>83</v>
      </c>
      <c r="B80" s="1"/>
      <c r="C80" s="7"/>
      <c r="D80" s="1"/>
      <c r="E80" s="8"/>
      <c r="F80" s="1"/>
      <c r="G80" s="1"/>
      <c r="H80" s="1"/>
      <c r="I80" s="1"/>
      <c r="J80" s="1"/>
      <c r="K80" s="1"/>
      <c r="L80" s="1"/>
      <c r="M80" s="7"/>
    </row>
    <row r="81" spans="1:13">
      <c r="A81" s="1">
        <v>84</v>
      </c>
      <c r="B81" s="1"/>
      <c r="C81" s="7"/>
      <c r="D81" s="1"/>
      <c r="E81" s="8"/>
      <c r="F81" s="1"/>
      <c r="G81" s="1"/>
      <c r="H81" s="1"/>
      <c r="I81" s="1"/>
      <c r="J81" s="1"/>
      <c r="K81" s="1"/>
      <c r="L81" s="1"/>
      <c r="M81" s="7"/>
    </row>
    <row r="82" spans="1:13">
      <c r="A82" s="1">
        <v>85</v>
      </c>
      <c r="B82" s="1"/>
      <c r="C82" s="7"/>
      <c r="D82" s="1"/>
      <c r="E82" s="8"/>
      <c r="F82" s="1"/>
      <c r="G82" s="1"/>
      <c r="H82" s="1"/>
      <c r="I82" s="1"/>
      <c r="J82" s="1"/>
      <c r="K82" s="1"/>
      <c r="L82" s="1"/>
      <c r="M82" s="7"/>
    </row>
    <row r="83" spans="1:13">
      <c r="A83" s="1">
        <v>86</v>
      </c>
      <c r="B83" s="1"/>
      <c r="C83" s="7"/>
      <c r="D83" s="1"/>
      <c r="E83" s="8"/>
      <c r="F83" s="1"/>
      <c r="G83" s="1"/>
      <c r="H83" s="1"/>
      <c r="I83" s="1"/>
      <c r="J83" s="1"/>
      <c r="K83" s="1"/>
      <c r="L83" s="1"/>
      <c r="M83" s="7"/>
    </row>
    <row r="84" spans="1:13">
      <c r="A84" s="1">
        <v>87</v>
      </c>
      <c r="B84" s="1"/>
      <c r="C84" s="7"/>
      <c r="D84" s="1"/>
      <c r="E84" s="8"/>
      <c r="F84" s="1"/>
      <c r="G84" s="1"/>
      <c r="H84" s="1"/>
      <c r="I84" s="1"/>
      <c r="J84" s="1"/>
      <c r="K84" s="1"/>
      <c r="L84" s="1"/>
      <c r="M84" s="7"/>
    </row>
    <row r="85" spans="1:13">
      <c r="A85" s="1">
        <v>88</v>
      </c>
      <c r="B85" s="1"/>
      <c r="C85" s="7"/>
      <c r="D85" s="1"/>
      <c r="E85" s="8"/>
      <c r="F85" s="1"/>
      <c r="G85" s="1"/>
      <c r="H85" s="1"/>
      <c r="I85" s="1"/>
      <c r="J85" s="1"/>
      <c r="K85" s="1"/>
      <c r="L85" s="1"/>
      <c r="M85" s="7"/>
    </row>
    <row r="86" spans="1:13">
      <c r="A86" s="1">
        <v>89</v>
      </c>
      <c r="B86" s="1"/>
      <c r="C86" s="7"/>
      <c r="D86" s="1"/>
      <c r="E86" s="8"/>
      <c r="F86" s="1"/>
      <c r="G86" s="1"/>
      <c r="H86" s="1"/>
      <c r="I86" s="1"/>
      <c r="J86" s="1"/>
      <c r="K86" s="1"/>
      <c r="L86" s="1"/>
      <c r="M86" s="7"/>
    </row>
    <row r="87" spans="1:13">
      <c r="A87" s="1">
        <v>90</v>
      </c>
      <c r="B87" s="1"/>
      <c r="C87" s="7"/>
      <c r="D87" s="1"/>
      <c r="E87" s="8"/>
      <c r="F87" s="1"/>
      <c r="G87" s="1"/>
      <c r="H87" s="1"/>
      <c r="I87" s="1"/>
      <c r="J87" s="1"/>
      <c r="K87" s="1"/>
      <c r="L87" s="1"/>
      <c r="M87" s="7"/>
    </row>
    <row r="88" spans="1:13">
      <c r="A88" s="1">
        <v>91</v>
      </c>
      <c r="B88" s="1"/>
      <c r="C88" s="7"/>
      <c r="D88" s="1"/>
      <c r="E88" s="8"/>
      <c r="F88" s="1"/>
      <c r="G88" s="1"/>
      <c r="H88" s="1"/>
      <c r="I88" s="1"/>
      <c r="J88" s="1"/>
      <c r="K88" s="1"/>
      <c r="L88" s="1"/>
      <c r="M88" s="7"/>
    </row>
    <row r="89" spans="1:13">
      <c r="A89" s="1">
        <v>92</v>
      </c>
      <c r="B89" s="1"/>
      <c r="C89" s="7"/>
      <c r="D89" s="1"/>
      <c r="E89" s="8"/>
      <c r="F89" s="1"/>
      <c r="G89" s="1"/>
      <c r="H89" s="1"/>
      <c r="I89" s="1"/>
      <c r="J89" s="1"/>
      <c r="K89" s="1"/>
      <c r="L89" s="1"/>
      <c r="M89" s="7"/>
    </row>
    <row r="90" spans="1:13">
      <c r="A90" s="1">
        <v>93</v>
      </c>
      <c r="B90" s="1"/>
      <c r="C90" s="7"/>
      <c r="D90" s="1"/>
      <c r="E90" s="8"/>
      <c r="F90" s="1"/>
      <c r="G90" s="1"/>
      <c r="H90" s="1"/>
      <c r="I90" s="1"/>
      <c r="J90" s="1"/>
      <c r="K90" s="1"/>
      <c r="L90" s="1"/>
      <c r="M90" s="7"/>
    </row>
    <row r="91" spans="1:13">
      <c r="A91" s="1">
        <v>94</v>
      </c>
      <c r="B91" s="1"/>
      <c r="C91" s="7"/>
      <c r="D91" s="1"/>
      <c r="E91" s="8"/>
      <c r="F91" s="1"/>
      <c r="G91" s="1"/>
      <c r="H91" s="1"/>
      <c r="I91" s="1"/>
      <c r="J91" s="1"/>
      <c r="K91" s="1"/>
      <c r="L91" s="1"/>
      <c r="M91" s="7"/>
    </row>
    <row r="92" spans="1:13">
      <c r="A92" s="1">
        <v>95</v>
      </c>
      <c r="B92" s="1"/>
      <c r="C92" s="7"/>
      <c r="D92" s="1"/>
      <c r="E92" s="8"/>
      <c r="F92" s="1"/>
      <c r="G92" s="1"/>
      <c r="H92" s="1"/>
      <c r="I92" s="1"/>
      <c r="J92" s="1"/>
      <c r="K92" s="1"/>
      <c r="L92" s="1"/>
      <c r="M92" s="7"/>
    </row>
    <row r="93" spans="1:13">
      <c r="A93" s="1">
        <v>96</v>
      </c>
      <c r="B93" s="1"/>
      <c r="C93" s="7"/>
      <c r="D93" s="1"/>
      <c r="E93" s="8"/>
      <c r="F93" s="1"/>
      <c r="G93" s="1"/>
      <c r="H93" s="1"/>
      <c r="I93" s="1"/>
      <c r="J93" s="1"/>
      <c r="K93" s="1"/>
      <c r="L93" s="1"/>
      <c r="M93" s="7"/>
    </row>
    <row r="94" spans="1:13">
      <c r="A94" s="1">
        <v>97</v>
      </c>
      <c r="B94" s="1"/>
      <c r="C94" s="7"/>
      <c r="D94" s="1"/>
      <c r="E94" s="8"/>
      <c r="F94" s="1"/>
      <c r="G94" s="1"/>
      <c r="H94" s="1"/>
      <c r="I94" s="1"/>
      <c r="J94" s="1"/>
      <c r="K94" s="1"/>
      <c r="L94" s="1"/>
      <c r="M94" s="7"/>
    </row>
    <row r="95" spans="1:13">
      <c r="A95" s="1">
        <v>98</v>
      </c>
      <c r="B95" s="1"/>
      <c r="C95" s="7"/>
      <c r="D95" s="1"/>
      <c r="E95" s="8"/>
      <c r="F95" s="1"/>
      <c r="G95" s="1"/>
      <c r="H95" s="1"/>
      <c r="I95" s="1"/>
      <c r="J95" s="1"/>
      <c r="K95" s="1"/>
      <c r="L95" s="1"/>
      <c r="M95" s="7"/>
    </row>
    <row r="96" spans="1:13">
      <c r="A96" s="1">
        <v>99</v>
      </c>
      <c r="B96" s="1"/>
      <c r="C96" s="7"/>
      <c r="D96" s="1"/>
      <c r="E96" s="8"/>
      <c r="F96" s="1"/>
      <c r="G96" s="1"/>
      <c r="H96" s="1"/>
      <c r="I96" s="1"/>
      <c r="J96" s="1"/>
      <c r="K96" s="1"/>
      <c r="L96" s="1"/>
      <c r="M96" s="7"/>
    </row>
    <row r="97" spans="1:13">
      <c r="A97" s="1">
        <v>100</v>
      </c>
      <c r="B97" s="1"/>
      <c r="C97" s="7"/>
      <c r="D97" s="1"/>
      <c r="E97" s="8"/>
      <c r="F97" s="1"/>
      <c r="G97" s="1"/>
      <c r="H97" s="1"/>
      <c r="I97" s="1"/>
      <c r="J97" s="1"/>
      <c r="K97" s="1"/>
      <c r="L97" s="1"/>
      <c r="M97" s="7"/>
    </row>
    <row r="98" spans="1:13">
      <c r="A98" s="1">
        <v>101</v>
      </c>
      <c r="B98" s="1"/>
      <c r="C98" s="7"/>
      <c r="D98" s="1"/>
      <c r="E98" s="8"/>
      <c r="F98" s="1"/>
      <c r="G98" s="1"/>
      <c r="H98" s="1"/>
      <c r="I98" s="1"/>
      <c r="J98" s="1"/>
      <c r="K98" s="1"/>
      <c r="L98" s="1"/>
      <c r="M98" s="7"/>
    </row>
    <row r="99" spans="1:13">
      <c r="A99" s="1">
        <v>102</v>
      </c>
      <c r="B99" s="1"/>
      <c r="C99" s="7"/>
      <c r="D99" s="1"/>
      <c r="E99" s="8"/>
      <c r="F99" s="1"/>
      <c r="G99" s="1"/>
      <c r="H99" s="1"/>
      <c r="I99" s="1"/>
      <c r="J99" s="1"/>
      <c r="K99" s="1"/>
      <c r="L99" s="1"/>
      <c r="M99" s="7"/>
    </row>
    <row r="100" spans="1:13">
      <c r="A100" s="1">
        <v>103</v>
      </c>
      <c r="B100" s="1"/>
      <c r="C100" s="7"/>
      <c r="D100" s="1"/>
      <c r="E100" s="8"/>
      <c r="F100" s="1"/>
      <c r="G100" s="1"/>
      <c r="H100" s="1"/>
      <c r="I100" s="1"/>
      <c r="J100" s="1"/>
      <c r="K100" s="1"/>
      <c r="L100" s="1"/>
      <c r="M100" s="7"/>
    </row>
    <row r="101" spans="1:13">
      <c r="A101" s="1">
        <v>104</v>
      </c>
      <c r="B101" s="1"/>
      <c r="C101" s="7"/>
      <c r="D101" s="1"/>
      <c r="E101" s="8"/>
      <c r="F101" s="1"/>
      <c r="G101" s="1"/>
      <c r="H101" s="1"/>
      <c r="I101" s="1"/>
      <c r="J101" s="1"/>
      <c r="K101" s="1"/>
      <c r="L101" s="1"/>
      <c r="M101" s="7"/>
    </row>
    <row r="102" spans="1:13">
      <c r="A102" s="1">
        <v>105</v>
      </c>
      <c r="B102" s="1"/>
      <c r="C102" s="7"/>
      <c r="D102" s="1"/>
      <c r="E102" s="8"/>
      <c r="F102" s="1"/>
      <c r="G102" s="1"/>
      <c r="H102" s="1"/>
      <c r="I102" s="1"/>
      <c r="J102" s="1"/>
      <c r="K102" s="1"/>
      <c r="L102" s="1"/>
      <c r="M102" s="7"/>
    </row>
    <row r="103" spans="1:13">
      <c r="A103" s="1">
        <v>106</v>
      </c>
      <c r="B103" s="1"/>
      <c r="C103" s="7"/>
      <c r="D103" s="1"/>
      <c r="E103" s="8"/>
      <c r="F103" s="1"/>
      <c r="G103" s="1"/>
      <c r="H103" s="1"/>
      <c r="I103" s="1"/>
      <c r="J103" s="1"/>
      <c r="K103" s="1"/>
      <c r="L103" s="1"/>
      <c r="M103" s="7"/>
    </row>
    <row r="104" spans="1:13">
      <c r="A104" s="1">
        <v>107</v>
      </c>
      <c r="B104" s="1"/>
      <c r="C104" s="7"/>
      <c r="D104" s="1"/>
      <c r="E104" s="8"/>
      <c r="F104" s="1"/>
      <c r="G104" s="1"/>
      <c r="H104" s="1"/>
      <c r="I104" s="1"/>
      <c r="J104" s="1"/>
      <c r="K104" s="1"/>
      <c r="L104" s="1"/>
      <c r="M104" s="7"/>
    </row>
    <row r="105" spans="1:13">
      <c r="A105" s="1">
        <v>108</v>
      </c>
      <c r="B105" s="1"/>
      <c r="C105" s="7"/>
      <c r="D105" s="1"/>
      <c r="E105" s="8"/>
      <c r="F105" s="1"/>
      <c r="G105" s="1"/>
      <c r="H105" s="1"/>
      <c r="I105" s="1"/>
      <c r="J105" s="1"/>
      <c r="K105" s="1"/>
      <c r="L105" s="1"/>
      <c r="M105" s="7"/>
    </row>
    <row r="106" spans="1:13">
      <c r="A106" s="1">
        <v>109</v>
      </c>
      <c r="B106" s="1"/>
      <c r="C106" s="7"/>
      <c r="D106" s="1"/>
      <c r="E106" s="8"/>
      <c r="F106" s="1"/>
      <c r="G106" s="1"/>
      <c r="H106" s="1"/>
      <c r="I106" s="1"/>
      <c r="J106" s="1"/>
      <c r="K106" s="1"/>
      <c r="L106" s="1"/>
      <c r="M106" s="7"/>
    </row>
    <row r="107" spans="1:13">
      <c r="A107" s="1">
        <v>110</v>
      </c>
      <c r="B107" s="1"/>
      <c r="C107" s="7"/>
      <c r="D107" s="1"/>
      <c r="E107" s="8"/>
      <c r="F107" s="1"/>
      <c r="G107" s="1"/>
      <c r="H107" s="1"/>
      <c r="I107" s="1"/>
      <c r="J107" s="1"/>
      <c r="K107" s="1"/>
      <c r="L107" s="1"/>
      <c r="M107" s="7"/>
    </row>
    <row r="108" spans="1:13">
      <c r="A108" s="1">
        <v>111</v>
      </c>
      <c r="B108" s="1"/>
      <c r="C108" s="7"/>
      <c r="D108" s="1"/>
      <c r="E108" s="8"/>
      <c r="F108" s="1"/>
      <c r="G108" s="1"/>
      <c r="H108" s="1"/>
      <c r="I108" s="1"/>
      <c r="J108" s="1"/>
      <c r="K108" s="1"/>
      <c r="L108" s="1"/>
      <c r="M108" s="7"/>
    </row>
    <row r="109" spans="1:13">
      <c r="A109" s="1">
        <v>112</v>
      </c>
      <c r="B109" s="1"/>
      <c r="C109" s="7"/>
      <c r="D109" s="1"/>
      <c r="E109" s="8"/>
      <c r="F109" s="1"/>
      <c r="G109" s="1"/>
      <c r="H109" s="1"/>
      <c r="I109" s="1"/>
      <c r="J109" s="1"/>
      <c r="K109" s="1"/>
      <c r="L109" s="1"/>
      <c r="M109" s="7"/>
    </row>
    <row r="110" spans="1:13">
      <c r="A110" s="1">
        <v>113</v>
      </c>
      <c r="B110" s="1"/>
      <c r="C110" s="7"/>
      <c r="D110" s="1"/>
      <c r="E110" s="8"/>
      <c r="F110" s="1"/>
      <c r="G110" s="1"/>
      <c r="H110" s="1"/>
      <c r="I110" s="1"/>
      <c r="J110" s="1"/>
      <c r="K110" s="1"/>
      <c r="L110" s="1"/>
      <c r="M110" s="7"/>
    </row>
    <row r="111" spans="1:13">
      <c r="A111" s="1">
        <v>114</v>
      </c>
      <c r="B111" s="1"/>
      <c r="C111" s="7"/>
      <c r="D111" s="1"/>
      <c r="E111" s="8"/>
      <c r="F111" s="1"/>
      <c r="G111" s="1"/>
      <c r="H111" s="1"/>
      <c r="I111" s="1"/>
      <c r="J111" s="1"/>
      <c r="K111" s="1"/>
      <c r="L111" s="1"/>
      <c r="M111" s="7"/>
    </row>
    <row r="112" spans="1:13">
      <c r="A112" s="1">
        <v>115</v>
      </c>
      <c r="B112" s="1"/>
      <c r="C112" s="7"/>
      <c r="D112" s="1"/>
      <c r="E112" s="8"/>
      <c r="F112" s="1"/>
      <c r="G112" s="1"/>
      <c r="H112" s="1"/>
      <c r="I112" s="1"/>
      <c r="J112" s="1"/>
      <c r="K112" s="1"/>
      <c r="L112" s="1"/>
      <c r="M112" s="7"/>
    </row>
    <row r="113" spans="1:13">
      <c r="A113" s="1">
        <v>116</v>
      </c>
      <c r="B113" s="1"/>
      <c r="C113" s="7"/>
      <c r="D113" s="1"/>
      <c r="E113" s="8"/>
      <c r="F113" s="1"/>
      <c r="G113" s="1"/>
      <c r="H113" s="1"/>
      <c r="I113" s="1"/>
      <c r="J113" s="1"/>
      <c r="K113" s="1"/>
      <c r="L113" s="1"/>
      <c r="M113" s="7"/>
    </row>
    <row r="114" spans="1:13">
      <c r="A114" s="1">
        <v>117</v>
      </c>
      <c r="B114" s="1"/>
      <c r="C114" s="7"/>
      <c r="D114" s="1"/>
      <c r="E114" s="8"/>
      <c r="F114" s="1"/>
      <c r="G114" s="1"/>
      <c r="H114" s="1"/>
      <c r="I114" s="1"/>
      <c r="J114" s="1"/>
      <c r="K114" s="1"/>
      <c r="L114" s="1"/>
      <c r="M114" s="7"/>
    </row>
    <row r="115" spans="1:13">
      <c r="A115" s="1">
        <v>118</v>
      </c>
      <c r="B115" s="1"/>
      <c r="C115" s="7"/>
      <c r="D115" s="1"/>
      <c r="E115" s="8"/>
      <c r="F115" s="1"/>
      <c r="G115" s="1"/>
      <c r="H115" s="1"/>
      <c r="I115" s="1"/>
      <c r="J115" s="1"/>
      <c r="K115" s="1"/>
      <c r="L115" s="1"/>
      <c r="M115" s="7"/>
    </row>
    <row r="116" spans="1:13">
      <c r="A116" s="1">
        <v>119</v>
      </c>
      <c r="B116" s="1"/>
      <c r="C116" s="7"/>
      <c r="D116" s="1"/>
      <c r="E116" s="8"/>
      <c r="F116" s="1"/>
      <c r="G116" s="1"/>
      <c r="H116" s="1"/>
      <c r="I116" s="1"/>
      <c r="J116" s="1"/>
      <c r="K116" s="1"/>
      <c r="L116" s="1"/>
      <c r="M116" s="7"/>
    </row>
    <row r="117" spans="1:13">
      <c r="A117" s="1">
        <v>120</v>
      </c>
      <c r="B117" s="1"/>
      <c r="C117" s="7"/>
      <c r="D117" s="1"/>
      <c r="E117" s="8"/>
      <c r="F117" s="1"/>
      <c r="G117" s="1"/>
      <c r="H117" s="1"/>
      <c r="I117" s="1"/>
      <c r="J117" s="1"/>
      <c r="K117" s="1"/>
      <c r="L117" s="1"/>
      <c r="M117" s="7"/>
    </row>
    <row r="118" spans="1:13">
      <c r="A118" s="1"/>
      <c r="B118" s="1"/>
      <c r="C118" s="7"/>
      <c r="D118" s="1"/>
      <c r="E118" s="8"/>
      <c r="F118" s="1"/>
      <c r="G118" s="1"/>
      <c r="H118" s="1"/>
      <c r="I118" s="1"/>
      <c r="J118" s="1"/>
      <c r="K118" s="1"/>
      <c r="L118" s="1"/>
      <c r="M118" s="7"/>
    </row>
    <row r="119" spans="1:13">
      <c r="A119" s="1"/>
      <c r="B119" s="1"/>
      <c r="C119" s="7"/>
      <c r="D119" s="1"/>
      <c r="E119" s="8"/>
      <c r="F119" s="1"/>
      <c r="G119" s="1"/>
      <c r="H119" s="1"/>
      <c r="I119" s="1"/>
      <c r="J119" s="1"/>
      <c r="K119" s="1"/>
      <c r="L119" s="1"/>
      <c r="M119" s="7"/>
    </row>
    <row r="120" spans="1:13">
      <c r="A120" s="1"/>
      <c r="B120" s="1"/>
      <c r="C120" s="7"/>
      <c r="D120" s="1"/>
      <c r="E120" s="8"/>
      <c r="F120" s="1"/>
      <c r="G120" s="1"/>
      <c r="H120" s="1"/>
      <c r="I120" s="1"/>
      <c r="J120" s="1"/>
      <c r="K120" s="1"/>
      <c r="L120" s="1"/>
      <c r="M120" s="7"/>
    </row>
    <row r="121" spans="1:13">
      <c r="A121" s="1"/>
      <c r="B121" s="1"/>
      <c r="C121" s="7"/>
      <c r="D121" s="1"/>
      <c r="E121" s="8"/>
      <c r="F121" s="1"/>
      <c r="G121" s="1"/>
      <c r="H121" s="1"/>
      <c r="I121" s="1"/>
      <c r="J121" s="1"/>
      <c r="K121" s="1"/>
      <c r="L121" s="1"/>
      <c r="M121" s="7"/>
    </row>
    <row r="122" spans="1:13">
      <c r="A122" s="1"/>
      <c r="B122" s="1"/>
      <c r="C122" s="7"/>
      <c r="D122" s="1"/>
      <c r="E122" s="8"/>
      <c r="F122" s="1"/>
      <c r="G122" s="1"/>
      <c r="H122" s="1"/>
      <c r="I122" s="1"/>
      <c r="J122" s="1"/>
      <c r="K122" s="1"/>
      <c r="L122" s="1"/>
      <c r="M122" s="7"/>
    </row>
    <row r="123" spans="1:13">
      <c r="A123" s="1"/>
      <c r="B123" s="1"/>
      <c r="C123" s="7"/>
      <c r="D123" s="1"/>
      <c r="E123" s="8"/>
      <c r="F123" s="1"/>
      <c r="G123" s="1"/>
      <c r="H123" s="1"/>
      <c r="I123" s="1"/>
      <c r="J123" s="1"/>
      <c r="K123" s="1"/>
      <c r="L123" s="1"/>
      <c r="M123" s="7"/>
    </row>
    <row r="124" spans="1:13">
      <c r="A124" s="1"/>
      <c r="B124" s="1"/>
      <c r="C124" s="7"/>
      <c r="D124" s="1"/>
      <c r="E124" s="8"/>
      <c r="F124" s="1"/>
      <c r="G124" s="1"/>
      <c r="H124" s="1"/>
      <c r="I124" s="1"/>
      <c r="J124" s="1"/>
      <c r="K124" s="1"/>
      <c r="L124" s="1"/>
      <c r="M124" s="7"/>
    </row>
    <row r="125" spans="1:13">
      <c r="A125" s="1"/>
      <c r="B125" s="1"/>
      <c r="C125" s="7"/>
      <c r="D125" s="1"/>
      <c r="E125" s="8"/>
      <c r="F125" s="1"/>
      <c r="G125" s="1"/>
      <c r="H125" s="1"/>
      <c r="I125" s="1"/>
      <c r="J125" s="1"/>
      <c r="K125" s="1"/>
      <c r="L125" s="1"/>
      <c r="M125" s="7"/>
    </row>
    <row r="126" spans="1:13">
      <c r="A126" s="1"/>
      <c r="B126" s="1"/>
      <c r="C126" s="7"/>
      <c r="D126" s="1"/>
      <c r="E126" s="8"/>
      <c r="F126" s="1"/>
      <c r="G126" s="1"/>
      <c r="H126" s="1"/>
      <c r="I126" s="1"/>
      <c r="J126" s="1"/>
      <c r="K126" s="1"/>
      <c r="L126" s="1"/>
      <c r="M126" s="7"/>
    </row>
    <row r="127" spans="1:13">
      <c r="A127" s="1"/>
      <c r="B127" s="1"/>
      <c r="C127" s="7"/>
      <c r="D127" s="1"/>
      <c r="E127" s="8"/>
      <c r="F127" s="1"/>
      <c r="G127" s="1"/>
      <c r="H127" s="1"/>
      <c r="I127" s="1"/>
      <c r="J127" s="1"/>
      <c r="K127" s="1"/>
      <c r="L127" s="1"/>
      <c r="M127" s="7"/>
    </row>
    <row r="128" spans="1:13">
      <c r="A128" s="1"/>
      <c r="B128" s="1"/>
      <c r="C128" s="7"/>
      <c r="D128" s="1"/>
      <c r="E128" s="8"/>
      <c r="F128" s="1"/>
      <c r="G128" s="1"/>
      <c r="H128" s="1"/>
      <c r="I128" s="1"/>
      <c r="J128" s="1"/>
      <c r="K128" s="1"/>
      <c r="L128" s="1"/>
      <c r="M128" s="7"/>
    </row>
    <row r="129" spans="1:13">
      <c r="A129" s="1"/>
      <c r="B129" s="1"/>
      <c r="C129" s="7"/>
      <c r="D129" s="1"/>
      <c r="E129" s="8"/>
      <c r="F129" s="1"/>
      <c r="G129" s="1"/>
      <c r="H129" s="1"/>
      <c r="I129" s="1"/>
      <c r="J129" s="1"/>
      <c r="K129" s="1"/>
      <c r="L129" s="1"/>
      <c r="M129" s="7"/>
    </row>
    <row r="130" spans="1:13">
      <c r="A130" s="1"/>
      <c r="B130" s="1"/>
      <c r="C130" s="7"/>
      <c r="D130" s="1"/>
      <c r="E130" s="8"/>
      <c r="F130" s="1"/>
      <c r="G130" s="1"/>
      <c r="H130" s="1"/>
      <c r="I130" s="1"/>
      <c r="J130" s="1"/>
      <c r="K130" s="1"/>
      <c r="L130" s="1"/>
      <c r="M130" s="7"/>
    </row>
    <row r="131" spans="1:13">
      <c r="A131" s="1"/>
      <c r="B131" s="1"/>
      <c r="C131" s="7"/>
      <c r="D131" s="1"/>
      <c r="E131" s="8"/>
      <c r="F131" s="1"/>
      <c r="G131" s="1"/>
      <c r="H131" s="1"/>
      <c r="I131" s="1"/>
      <c r="J131" s="1"/>
      <c r="K131" s="1"/>
      <c r="L131" s="1"/>
      <c r="M131" s="7"/>
    </row>
    <row r="132" spans="1:13">
      <c r="A132" s="1"/>
      <c r="B132" s="1"/>
      <c r="C132" s="7"/>
      <c r="D132" s="1"/>
      <c r="E132" s="8"/>
      <c r="F132" s="1"/>
      <c r="G132" s="1"/>
      <c r="H132" s="1"/>
      <c r="I132" s="1"/>
      <c r="J132" s="1"/>
      <c r="K132" s="1"/>
      <c r="L132" s="1"/>
      <c r="M132" s="7"/>
    </row>
    <row r="133" spans="1:13">
      <c r="A133" s="1"/>
      <c r="B133" s="1"/>
      <c r="C133" s="7"/>
      <c r="D133" s="1"/>
      <c r="E133" s="8"/>
      <c r="F133" s="1"/>
      <c r="G133" s="1"/>
      <c r="H133" s="1"/>
      <c r="I133" s="1"/>
      <c r="J133" s="1"/>
      <c r="K133" s="1"/>
      <c r="L133" s="1"/>
      <c r="M133" s="7"/>
    </row>
    <row r="134" spans="1:13">
      <c r="A134" s="1"/>
      <c r="B134" s="1"/>
      <c r="C134" s="7"/>
      <c r="D134" s="1"/>
      <c r="E134" s="8"/>
      <c r="F134" s="1"/>
      <c r="G134" s="1"/>
      <c r="H134" s="1"/>
      <c r="I134" s="1"/>
      <c r="J134" s="1"/>
      <c r="K134" s="1"/>
      <c r="L134" s="1"/>
      <c r="M134" s="7"/>
    </row>
    <row r="135" spans="1:13">
      <c r="A135" s="1"/>
      <c r="B135" s="1"/>
      <c r="C135" s="7"/>
      <c r="D135" s="1"/>
      <c r="E135" s="8"/>
      <c r="F135" s="1"/>
      <c r="G135" s="1"/>
      <c r="H135" s="1"/>
      <c r="I135" s="1"/>
      <c r="J135" s="1"/>
      <c r="K135" s="1"/>
      <c r="L135" s="1"/>
      <c r="M135" s="7"/>
    </row>
    <row r="136" spans="1:13">
      <c r="A136" s="1"/>
      <c r="B136" s="1"/>
      <c r="C136" s="7"/>
      <c r="D136" s="1"/>
      <c r="E136" s="8"/>
      <c r="F136" s="1"/>
      <c r="G136" s="1"/>
      <c r="H136" s="1"/>
      <c r="I136" s="1"/>
      <c r="J136" s="1"/>
      <c r="K136" s="1"/>
      <c r="L136" s="1"/>
      <c r="M136" s="7"/>
    </row>
    <row r="137" spans="1:13">
      <c r="A137" s="1"/>
      <c r="B137" s="1"/>
      <c r="C137" s="7"/>
      <c r="D137" s="1"/>
      <c r="E137" s="8"/>
      <c r="F137" s="1"/>
      <c r="G137" s="1"/>
      <c r="H137" s="1"/>
      <c r="I137" s="1"/>
      <c r="J137" s="1"/>
      <c r="K137" s="1"/>
      <c r="L137" s="1"/>
      <c r="M137" s="7"/>
    </row>
    <row r="138" spans="1:13">
      <c r="A138" s="1"/>
      <c r="B138" s="1"/>
      <c r="C138" s="7"/>
      <c r="D138" s="1"/>
      <c r="E138" s="8"/>
      <c r="F138" s="1"/>
      <c r="G138" s="1"/>
      <c r="H138" s="1"/>
      <c r="I138" s="1"/>
      <c r="J138" s="1"/>
      <c r="K138" s="1"/>
      <c r="L138" s="1"/>
      <c r="M138" s="7"/>
    </row>
    <row r="139" spans="1:13">
      <c r="A139" s="1"/>
      <c r="B139" s="1"/>
      <c r="C139" s="7"/>
      <c r="D139" s="1"/>
      <c r="E139" s="8"/>
      <c r="F139" s="1"/>
      <c r="G139" s="1"/>
      <c r="H139" s="1"/>
      <c r="I139" s="1"/>
      <c r="J139" s="1"/>
      <c r="K139" s="1"/>
      <c r="L139" s="1"/>
      <c r="M139" s="7"/>
    </row>
    <row r="140" spans="1:13">
      <c r="A140" s="1"/>
      <c r="B140" s="1"/>
      <c r="C140" s="7"/>
      <c r="D140" s="1"/>
      <c r="E140" s="8"/>
      <c r="F140" s="1"/>
      <c r="G140" s="1"/>
      <c r="H140" s="1"/>
      <c r="I140" s="1"/>
      <c r="J140" s="1"/>
      <c r="K140" s="1"/>
      <c r="L140" s="1"/>
      <c r="M140" s="7"/>
    </row>
    <row r="141" spans="1:13">
      <c r="A141" s="1"/>
      <c r="B141" s="1"/>
      <c r="C141" s="7"/>
      <c r="D141" s="1"/>
      <c r="E141" s="8"/>
      <c r="F141" s="1"/>
      <c r="G141" s="1"/>
      <c r="H141" s="1"/>
      <c r="I141" s="1"/>
      <c r="J141" s="1"/>
      <c r="K141" s="1"/>
      <c r="L141" s="1"/>
      <c r="M141" s="7"/>
    </row>
    <row r="142" spans="1:13">
      <c r="A142" s="1"/>
      <c r="B142" s="1"/>
      <c r="C142" s="7"/>
      <c r="D142" s="1"/>
      <c r="E142" s="8"/>
      <c r="F142" s="1"/>
      <c r="G142" s="1"/>
      <c r="H142" s="1"/>
      <c r="I142" s="1"/>
      <c r="J142" s="1"/>
      <c r="K142" s="1"/>
      <c r="L142" s="1"/>
      <c r="M142" s="7"/>
    </row>
    <row r="143" spans="1:13">
      <c r="A143" s="1"/>
      <c r="B143" s="1"/>
      <c r="C143" s="7"/>
      <c r="D143" s="1"/>
      <c r="E143" s="8"/>
      <c r="F143" s="1"/>
      <c r="G143" s="1"/>
      <c r="H143" s="1"/>
      <c r="I143" s="1"/>
      <c r="J143" s="1"/>
      <c r="K143" s="1"/>
      <c r="L143" s="1"/>
      <c r="M143" s="7"/>
    </row>
    <row r="144" spans="1:13">
      <c r="A144" s="1"/>
      <c r="B144" s="1"/>
      <c r="C144" s="7"/>
      <c r="D144" s="1"/>
      <c r="E144" s="8"/>
      <c r="F144" s="1"/>
      <c r="G144" s="1"/>
      <c r="H144" s="1"/>
      <c r="I144" s="1"/>
      <c r="J144" s="1"/>
      <c r="K144" s="1"/>
      <c r="L144" s="1"/>
      <c r="M144" s="7"/>
    </row>
    <row r="145" spans="1:13">
      <c r="A145" s="1"/>
      <c r="B145" s="1"/>
      <c r="C145" s="7"/>
      <c r="D145" s="1"/>
      <c r="E145" s="8"/>
      <c r="F145" s="1"/>
      <c r="G145" s="1"/>
      <c r="H145" s="1"/>
      <c r="I145" s="1"/>
      <c r="J145" s="1"/>
      <c r="K145" s="1"/>
      <c r="L145" s="1"/>
      <c r="M145" s="7"/>
    </row>
    <row r="146" spans="1:13">
      <c r="A146" s="1"/>
      <c r="B146" s="1"/>
      <c r="C146" s="7"/>
      <c r="D146" s="1"/>
      <c r="E146" s="8"/>
      <c r="F146" s="1"/>
      <c r="G146" s="1"/>
      <c r="H146" s="1"/>
      <c r="I146" s="1"/>
      <c r="J146" s="1"/>
      <c r="K146" s="1"/>
      <c r="L146" s="1"/>
      <c r="M146" s="7"/>
    </row>
    <row r="147" spans="1:13">
      <c r="A147" s="1"/>
      <c r="B147" s="1"/>
      <c r="C147" s="7"/>
      <c r="D147" s="1"/>
      <c r="E147" s="8"/>
      <c r="F147" s="1"/>
      <c r="G147" s="1"/>
      <c r="H147" s="1"/>
      <c r="I147" s="1"/>
      <c r="J147" s="1"/>
      <c r="K147" s="1"/>
      <c r="L147" s="1"/>
      <c r="M147" s="7"/>
    </row>
    <row r="148" spans="1:13">
      <c r="A148" s="1"/>
      <c r="B148" s="1"/>
      <c r="C148" s="7"/>
      <c r="D148" s="1"/>
      <c r="E148" s="8"/>
      <c r="F148" s="1"/>
      <c r="G148" s="1"/>
      <c r="H148" s="1"/>
      <c r="I148" s="1"/>
      <c r="J148" s="1"/>
      <c r="K148" s="1"/>
      <c r="L148" s="1"/>
      <c r="M148" s="7"/>
    </row>
    <row r="149" spans="1:13">
      <c r="A149" s="1"/>
      <c r="B149" s="1"/>
      <c r="C149" s="7"/>
      <c r="D149" s="1"/>
      <c r="E149" s="8"/>
      <c r="F149" s="1"/>
      <c r="G149" s="1"/>
      <c r="H149" s="1"/>
      <c r="I149" s="1"/>
      <c r="J149" s="1"/>
      <c r="K149" s="1"/>
      <c r="L149" s="1"/>
      <c r="M149" s="7"/>
    </row>
    <row r="150" spans="1:13">
      <c r="A150" s="1"/>
      <c r="B150" s="1"/>
      <c r="C150" s="7"/>
      <c r="D150" s="1"/>
      <c r="E150" s="8"/>
      <c r="F150" s="1"/>
      <c r="G150" s="1"/>
      <c r="H150" s="1"/>
      <c r="I150" s="1"/>
      <c r="J150" s="1"/>
      <c r="K150" s="1"/>
      <c r="L150" s="1"/>
      <c r="M150" s="7"/>
    </row>
    <row r="151" spans="1:13">
      <c r="A151" s="1"/>
      <c r="B151" s="1"/>
      <c r="C151" s="7"/>
      <c r="D151" s="1"/>
      <c r="E151" s="8"/>
      <c r="F151" s="1"/>
      <c r="G151" s="1"/>
      <c r="H151" s="1"/>
      <c r="I151" s="1"/>
      <c r="J151" s="1"/>
      <c r="K151" s="1"/>
      <c r="L151" s="1"/>
      <c r="M151" s="7"/>
    </row>
    <row r="152" spans="1:13">
      <c r="A152" s="1"/>
      <c r="B152" s="1"/>
      <c r="C152" s="7"/>
      <c r="D152" s="1"/>
      <c r="E152" s="8"/>
      <c r="F152" s="1"/>
      <c r="G152" s="1"/>
      <c r="H152" s="1"/>
      <c r="I152" s="1"/>
      <c r="J152" s="1"/>
      <c r="K152" s="1"/>
      <c r="L152" s="1"/>
      <c r="M152" s="7"/>
    </row>
    <row r="153" spans="1:13">
      <c r="A153" s="1"/>
      <c r="B153" s="1"/>
      <c r="C153" s="7"/>
      <c r="D153" s="1"/>
      <c r="E153" s="8"/>
      <c r="F153" s="1"/>
      <c r="G153" s="1"/>
      <c r="H153" s="1"/>
      <c r="I153" s="1"/>
      <c r="J153" s="1"/>
      <c r="K153" s="1"/>
      <c r="L153" s="1"/>
      <c r="M153" s="7"/>
    </row>
    <row r="154" spans="1:13">
      <c r="A154" s="1"/>
      <c r="B154" s="1"/>
      <c r="C154" s="7"/>
      <c r="D154" s="1"/>
      <c r="E154" s="8"/>
      <c r="F154" s="1"/>
      <c r="G154" s="1"/>
      <c r="H154" s="1"/>
      <c r="I154" s="1"/>
      <c r="J154" s="1"/>
      <c r="K154" s="1"/>
      <c r="L154" s="1"/>
      <c r="M154" s="7"/>
    </row>
    <row r="155" spans="1:13">
      <c r="A155" s="1"/>
      <c r="B155" s="1"/>
      <c r="C155" s="7"/>
      <c r="D155" s="1"/>
      <c r="E155" s="8"/>
      <c r="F155" s="1"/>
      <c r="G155" s="1"/>
      <c r="H155" s="1"/>
      <c r="I155" s="1"/>
      <c r="J155" s="1"/>
      <c r="K155" s="1"/>
      <c r="L155" s="1"/>
      <c r="M155" s="7"/>
    </row>
    <row r="156" spans="1:13">
      <c r="A156" s="1"/>
      <c r="B156" s="1"/>
      <c r="C156" s="7"/>
      <c r="D156" s="1"/>
      <c r="E156" s="8"/>
      <c r="F156" s="1"/>
      <c r="G156" s="1"/>
      <c r="H156" s="1"/>
      <c r="I156" s="1"/>
      <c r="J156" s="1"/>
      <c r="K156" s="1"/>
      <c r="L156" s="1"/>
      <c r="M156" s="7"/>
    </row>
    <row r="157" spans="1:13">
      <c r="A157" s="1"/>
      <c r="B157" s="1"/>
      <c r="C157" s="7"/>
      <c r="D157" s="1"/>
      <c r="E157" s="8"/>
      <c r="F157" s="1"/>
      <c r="G157" s="1"/>
      <c r="H157" s="1"/>
      <c r="I157" s="1"/>
      <c r="J157" s="1"/>
      <c r="K157" s="1"/>
      <c r="L157" s="1"/>
      <c r="M157" s="7"/>
    </row>
    <row r="158" spans="1:13">
      <c r="A158" s="1"/>
      <c r="B158" s="1"/>
      <c r="C158" s="7"/>
      <c r="D158" s="1"/>
      <c r="E158" s="8"/>
      <c r="F158" s="1"/>
      <c r="G158" s="1"/>
      <c r="H158" s="1"/>
      <c r="I158" s="1"/>
      <c r="J158" s="1"/>
      <c r="K158" s="1"/>
      <c r="L158" s="1"/>
      <c r="M158" s="7"/>
    </row>
    <row r="159" spans="1:13">
      <c r="A159" s="1"/>
      <c r="B159" s="1"/>
      <c r="C159" s="7"/>
      <c r="D159" s="1"/>
      <c r="E159" s="8"/>
      <c r="F159" s="1"/>
      <c r="G159" s="1"/>
      <c r="H159" s="1"/>
      <c r="I159" s="1"/>
      <c r="J159" s="1"/>
      <c r="K159" s="1"/>
      <c r="L159" s="1"/>
      <c r="M159" s="7"/>
    </row>
    <row r="160" spans="1:13">
      <c r="A160" s="1"/>
      <c r="B160" s="1"/>
      <c r="C160" s="7"/>
      <c r="D160" s="1"/>
      <c r="E160" s="8"/>
      <c r="F160" s="1"/>
      <c r="G160" s="1"/>
      <c r="H160" s="1"/>
      <c r="I160" s="1"/>
      <c r="J160" s="1"/>
      <c r="K160" s="1"/>
      <c r="L160" s="1"/>
      <c r="M160" s="7"/>
    </row>
    <row r="161" spans="1:13">
      <c r="A161" s="1"/>
      <c r="B161" s="1"/>
      <c r="C161" s="7"/>
      <c r="D161" s="1"/>
      <c r="E161" s="8"/>
      <c r="F161" s="1"/>
      <c r="G161" s="1"/>
      <c r="H161" s="1"/>
      <c r="I161" s="1"/>
      <c r="J161" s="1"/>
      <c r="K161" s="1"/>
      <c r="L161" s="1"/>
      <c r="M161" s="7"/>
    </row>
    <row r="162" spans="1:13">
      <c r="A162" s="1"/>
      <c r="B162" s="1"/>
      <c r="C162" s="7"/>
      <c r="D162" s="1"/>
      <c r="E162" s="8"/>
      <c r="F162" s="1"/>
      <c r="G162" s="1"/>
      <c r="H162" s="1"/>
      <c r="I162" s="1"/>
      <c r="J162" s="1"/>
      <c r="K162" s="1"/>
      <c r="L162" s="1"/>
      <c r="M162" s="7"/>
    </row>
    <row r="163" spans="1:13">
      <c r="A163" s="1"/>
      <c r="B163" s="1"/>
      <c r="C163" s="7"/>
      <c r="D163" s="1"/>
      <c r="E163" s="8"/>
      <c r="F163" s="1"/>
      <c r="G163" s="1"/>
      <c r="H163" s="1"/>
      <c r="I163" s="1"/>
      <c r="J163" s="1"/>
      <c r="K163" s="1"/>
      <c r="L163" s="1"/>
      <c r="M163" s="7"/>
    </row>
    <row r="164" spans="1:13">
      <c r="A164" s="1"/>
      <c r="B164" s="1"/>
      <c r="C164" s="7"/>
      <c r="D164" s="1"/>
      <c r="E164" s="8"/>
      <c r="F164" s="1"/>
      <c r="G164" s="1"/>
      <c r="H164" s="1"/>
      <c r="I164" s="1"/>
      <c r="J164" s="1"/>
      <c r="K164" s="1"/>
      <c r="L164" s="1"/>
      <c r="M164" s="7"/>
    </row>
    <row r="165" spans="1:13">
      <c r="A165" s="1"/>
      <c r="B165" s="1"/>
      <c r="C165" s="7"/>
      <c r="D165" s="1"/>
      <c r="E165" s="8"/>
      <c r="F165" s="1"/>
      <c r="G165" s="1"/>
      <c r="H165" s="1"/>
      <c r="I165" s="1"/>
      <c r="J165" s="1"/>
      <c r="K165" s="1"/>
      <c r="L165" s="1"/>
      <c r="M165" s="7"/>
    </row>
    <row r="166" spans="1:13">
      <c r="A166" s="1"/>
      <c r="B166" s="1"/>
      <c r="C166" s="7"/>
      <c r="D166" s="1"/>
      <c r="E166" s="8"/>
      <c r="F166" s="1"/>
      <c r="G166" s="1"/>
      <c r="H166" s="1"/>
      <c r="I166" s="1"/>
      <c r="J166" s="1"/>
      <c r="K166" s="1"/>
      <c r="L166" s="1"/>
      <c r="M166" s="7"/>
    </row>
    <row r="167" spans="1:13">
      <c r="A167" s="1"/>
      <c r="B167" s="1"/>
      <c r="C167" s="7"/>
      <c r="D167" s="1"/>
      <c r="E167" s="8"/>
      <c r="F167" s="1"/>
      <c r="G167" s="1"/>
      <c r="H167" s="1"/>
      <c r="I167" s="1"/>
      <c r="J167" s="1"/>
      <c r="K167" s="1"/>
      <c r="L167" s="1"/>
      <c r="M167" s="7"/>
    </row>
    <row r="168" spans="1:13">
      <c r="A168" s="1"/>
      <c r="B168" s="1"/>
      <c r="C168" s="7"/>
      <c r="D168" s="1"/>
      <c r="E168" s="8"/>
      <c r="F168" s="1"/>
      <c r="G168" s="1"/>
      <c r="H168" s="1"/>
      <c r="I168" s="1"/>
      <c r="J168" s="1"/>
      <c r="K168" s="1"/>
      <c r="L168" s="1"/>
      <c r="M168" s="7"/>
    </row>
    <row r="169" spans="1:13">
      <c r="A169" s="1"/>
      <c r="B169" s="1"/>
      <c r="C169" s="7"/>
      <c r="D169" s="1"/>
      <c r="E169" s="8"/>
      <c r="F169" s="1"/>
      <c r="G169" s="1"/>
      <c r="H169" s="1"/>
      <c r="I169" s="1"/>
      <c r="J169" s="1"/>
      <c r="K169" s="1"/>
      <c r="L169" s="1"/>
      <c r="M169" s="7"/>
    </row>
    <row r="170" spans="1:13">
      <c r="A170" s="1"/>
      <c r="B170" s="1"/>
      <c r="C170" s="7"/>
      <c r="D170" s="1"/>
      <c r="E170" s="8"/>
      <c r="F170" s="1"/>
      <c r="G170" s="1"/>
      <c r="H170" s="1"/>
      <c r="I170" s="1"/>
      <c r="J170" s="1"/>
      <c r="K170" s="1"/>
      <c r="L170" s="1"/>
      <c r="M170" s="7"/>
    </row>
    <row r="171" spans="1:13">
      <c r="A171" s="1"/>
      <c r="B171" s="1"/>
      <c r="C171" s="7"/>
      <c r="D171" s="1"/>
      <c r="E171" s="8"/>
      <c r="F171" s="1"/>
      <c r="G171" s="1"/>
      <c r="H171" s="1"/>
      <c r="I171" s="1"/>
      <c r="J171" s="1"/>
      <c r="K171" s="1"/>
      <c r="L171" s="1"/>
      <c r="M171" s="7"/>
    </row>
    <row r="172" spans="1:13">
      <c r="A172" s="1"/>
      <c r="B172" s="1"/>
      <c r="C172" s="7"/>
      <c r="D172" s="1"/>
      <c r="E172" s="8"/>
      <c r="F172" s="1"/>
      <c r="G172" s="1"/>
      <c r="H172" s="1"/>
      <c r="I172" s="1"/>
      <c r="J172" s="1"/>
      <c r="K172" s="1"/>
      <c r="L172" s="1"/>
      <c r="M172" s="7"/>
    </row>
    <row r="173" spans="1:13">
      <c r="A173" s="1"/>
      <c r="B173" s="1"/>
      <c r="C173" s="7"/>
      <c r="D173" s="1"/>
      <c r="E173" s="8"/>
      <c r="F173" s="1"/>
      <c r="G173" s="1"/>
      <c r="H173" s="1"/>
      <c r="I173" s="1"/>
      <c r="J173" s="1"/>
      <c r="K173" s="1"/>
      <c r="L173" s="1"/>
      <c r="M173" s="7"/>
    </row>
    <row r="174" spans="1:13">
      <c r="A174" s="1"/>
      <c r="B174" s="1"/>
      <c r="C174" s="7"/>
      <c r="D174" s="1"/>
      <c r="E174" s="8"/>
      <c r="F174" s="1"/>
      <c r="G174" s="1"/>
      <c r="H174" s="1"/>
      <c r="I174" s="1"/>
      <c r="J174" s="1"/>
      <c r="K174" s="1"/>
      <c r="L174" s="1"/>
      <c r="M174" s="7"/>
    </row>
    <row r="175" spans="1:13">
      <c r="A175" s="1"/>
      <c r="B175" s="1"/>
      <c r="C175" s="7"/>
      <c r="D175" s="1"/>
      <c r="E175" s="8"/>
      <c r="F175" s="1"/>
      <c r="G175" s="1"/>
      <c r="H175" s="1"/>
      <c r="I175" s="1"/>
      <c r="J175" s="1"/>
      <c r="K175" s="1"/>
      <c r="L175" s="1"/>
      <c r="M175" s="7"/>
    </row>
    <row r="176" spans="1:13">
      <c r="A176" s="1"/>
      <c r="B176" s="1"/>
      <c r="C176" s="7"/>
      <c r="D176" s="1"/>
      <c r="E176" s="8"/>
      <c r="F176" s="1"/>
      <c r="G176" s="1"/>
      <c r="H176" s="1"/>
      <c r="I176" s="1"/>
      <c r="J176" s="1"/>
      <c r="K176" s="1"/>
      <c r="L176" s="1"/>
      <c r="M176" s="7"/>
    </row>
    <row r="177" spans="1:13">
      <c r="A177" s="1"/>
      <c r="B177" s="1"/>
      <c r="C177" s="7"/>
      <c r="D177" s="1"/>
      <c r="E177" s="8"/>
      <c r="F177" s="1"/>
      <c r="G177" s="1"/>
      <c r="H177" s="1"/>
      <c r="I177" s="1"/>
      <c r="J177" s="1"/>
      <c r="K177" s="1"/>
      <c r="L177" s="1"/>
      <c r="M177" s="7"/>
    </row>
    <row r="178" spans="1:13">
      <c r="A178" s="1"/>
      <c r="B178" s="1"/>
      <c r="C178" s="7"/>
      <c r="D178" s="1"/>
      <c r="E178" s="8"/>
      <c r="F178" s="1"/>
      <c r="G178" s="1"/>
      <c r="H178" s="1"/>
      <c r="I178" s="1"/>
      <c r="J178" s="1"/>
      <c r="K178" s="1"/>
      <c r="L178" s="1"/>
      <c r="M178" s="7"/>
    </row>
    <row r="179" spans="1:13">
      <c r="A179" s="1"/>
      <c r="B179" s="1"/>
      <c r="C179" s="7"/>
      <c r="D179" s="1"/>
      <c r="E179" s="8"/>
      <c r="F179" s="1"/>
      <c r="G179" s="1"/>
      <c r="H179" s="1"/>
      <c r="I179" s="1"/>
      <c r="J179" s="1"/>
      <c r="K179" s="1"/>
      <c r="L179" s="1"/>
      <c r="M179" s="7"/>
    </row>
    <row r="180" spans="1:13">
      <c r="A180" s="1"/>
      <c r="B180" s="1"/>
      <c r="C180" s="7"/>
      <c r="D180" s="1"/>
      <c r="E180" s="8"/>
      <c r="F180" s="1"/>
      <c r="G180" s="1"/>
      <c r="H180" s="1"/>
      <c r="I180" s="1"/>
      <c r="J180" s="1"/>
      <c r="K180" s="1"/>
      <c r="L180" s="1"/>
      <c r="M180" s="7"/>
    </row>
    <row r="181" spans="1:13">
      <c r="A181" s="1"/>
      <c r="B181" s="1"/>
      <c r="C181" s="7"/>
      <c r="D181" s="1"/>
      <c r="E181" s="8"/>
      <c r="F181" s="1"/>
      <c r="G181" s="1"/>
      <c r="H181" s="1"/>
      <c r="I181" s="1"/>
      <c r="J181" s="1"/>
      <c r="K181" s="1"/>
      <c r="L181" s="1"/>
      <c r="M181" s="7"/>
    </row>
    <row r="182" spans="1:13">
      <c r="A182" s="1"/>
      <c r="B182" s="1"/>
      <c r="C182" s="7"/>
      <c r="D182" s="1"/>
      <c r="E182" s="8"/>
      <c r="F182" s="1"/>
      <c r="G182" s="1"/>
      <c r="H182" s="1"/>
      <c r="I182" s="1"/>
      <c r="J182" s="1"/>
      <c r="K182" s="1"/>
      <c r="L182" s="1"/>
      <c r="M182" s="7"/>
    </row>
    <row r="183" spans="1:13">
      <c r="A183" s="1"/>
      <c r="B183" s="1"/>
      <c r="C183" s="7"/>
      <c r="D183" s="1"/>
      <c r="E183" s="8"/>
      <c r="F183" s="1"/>
      <c r="G183" s="1"/>
      <c r="H183" s="1"/>
      <c r="I183" s="1"/>
      <c r="J183" s="1"/>
      <c r="K183" s="1"/>
      <c r="L183" s="1"/>
      <c r="M183" s="7"/>
    </row>
    <row r="184" spans="1:13">
      <c r="A184" s="1"/>
      <c r="B184" s="1"/>
      <c r="C184" s="7"/>
      <c r="D184" s="1"/>
      <c r="E184" s="8"/>
      <c r="F184" s="1"/>
      <c r="G184" s="1"/>
      <c r="H184" s="1"/>
      <c r="I184" s="1"/>
      <c r="J184" s="1"/>
      <c r="K184" s="1"/>
      <c r="L184" s="1"/>
      <c r="M184" s="7"/>
    </row>
    <row r="185" spans="1:13">
      <c r="A185" s="1"/>
      <c r="B185" s="1"/>
      <c r="C185" s="7"/>
      <c r="D185" s="1"/>
      <c r="E185" s="8"/>
      <c r="F185" s="1"/>
      <c r="G185" s="1"/>
      <c r="H185" s="1"/>
      <c r="I185" s="1"/>
      <c r="J185" s="1"/>
      <c r="K185" s="1"/>
      <c r="L185" s="1"/>
      <c r="M185" s="7"/>
    </row>
    <row r="186" spans="1:13">
      <c r="A186" s="1"/>
      <c r="B186" s="1"/>
      <c r="C186" s="7"/>
      <c r="D186" s="1"/>
      <c r="E186" s="8"/>
      <c r="F186" s="1"/>
      <c r="G186" s="1"/>
      <c r="H186" s="1"/>
      <c r="I186" s="1"/>
      <c r="J186" s="1"/>
      <c r="K186" s="1"/>
      <c r="L186" s="1"/>
      <c r="M186" s="7"/>
    </row>
    <row r="187" spans="1:13">
      <c r="A187" s="1"/>
      <c r="B187" s="1"/>
      <c r="C187" s="7"/>
      <c r="D187" s="1"/>
      <c r="E187" s="8"/>
      <c r="F187" s="1"/>
      <c r="G187" s="1"/>
      <c r="H187" s="1"/>
      <c r="I187" s="1"/>
      <c r="J187" s="1"/>
      <c r="K187" s="1"/>
      <c r="L187" s="1"/>
      <c r="M187" s="7"/>
    </row>
    <row r="188" spans="1:13">
      <c r="A188" s="1"/>
      <c r="B188" s="1"/>
      <c r="C188" s="7"/>
      <c r="D188" s="1"/>
      <c r="E188" s="8"/>
      <c r="F188" s="1"/>
      <c r="G188" s="1"/>
      <c r="H188" s="1"/>
      <c r="I188" s="1"/>
      <c r="J188" s="1"/>
      <c r="K188" s="1"/>
      <c r="L188" s="1"/>
      <c r="M188" s="7"/>
    </row>
    <row r="189" spans="1:13">
      <c r="A189" s="1"/>
      <c r="B189" s="1"/>
      <c r="C189" s="7"/>
      <c r="D189" s="1"/>
      <c r="E189" s="8"/>
      <c r="F189" s="1"/>
      <c r="G189" s="1"/>
      <c r="H189" s="1"/>
      <c r="I189" s="1"/>
      <c r="J189" s="1"/>
      <c r="K189" s="1"/>
      <c r="L189" s="1"/>
      <c r="M189" s="7"/>
    </row>
    <row r="190" spans="1:13">
      <c r="A190" s="1"/>
      <c r="B190" s="1"/>
      <c r="C190" s="7"/>
      <c r="D190" s="1"/>
      <c r="E190" s="8"/>
      <c r="F190" s="1"/>
      <c r="G190" s="1"/>
      <c r="H190" s="1"/>
      <c r="I190" s="1"/>
      <c r="J190" s="1"/>
      <c r="K190" s="1"/>
      <c r="L190" s="1"/>
      <c r="M190" s="7"/>
    </row>
    <row r="191" spans="1:13">
      <c r="A191" s="1"/>
      <c r="B191" s="1"/>
      <c r="C191" s="7"/>
      <c r="D191" s="1"/>
      <c r="E191" s="8"/>
      <c r="F191" s="1"/>
      <c r="G191" s="1"/>
      <c r="H191" s="1"/>
      <c r="I191" s="1"/>
      <c r="J191" s="1"/>
      <c r="K191" s="1"/>
      <c r="L191" s="1"/>
      <c r="M191" s="7"/>
    </row>
    <row r="192" spans="1:13">
      <c r="A192" s="1"/>
      <c r="B192" s="1"/>
      <c r="C192" s="7"/>
      <c r="D192" s="1"/>
      <c r="E192" s="8"/>
      <c r="F192" s="1"/>
      <c r="G192" s="1"/>
      <c r="H192" s="1"/>
      <c r="I192" s="1"/>
      <c r="J192" s="1"/>
      <c r="K192" s="1"/>
      <c r="L192" s="1"/>
      <c r="M192" s="7"/>
    </row>
    <row r="193" spans="1:13">
      <c r="A193" s="1"/>
      <c r="B193" s="1"/>
      <c r="C193" s="7"/>
      <c r="D193" s="1"/>
      <c r="E193" s="8"/>
      <c r="F193" s="1"/>
      <c r="G193" s="1"/>
      <c r="H193" s="1"/>
      <c r="I193" s="1"/>
      <c r="J193" s="1"/>
      <c r="K193" s="1"/>
      <c r="L193" s="1"/>
      <c r="M193" s="7"/>
    </row>
    <row r="194" spans="1:13">
      <c r="A194" s="1"/>
      <c r="B194" s="1"/>
      <c r="C194" s="7"/>
      <c r="D194" s="1"/>
      <c r="E194" s="8"/>
      <c r="F194" s="1"/>
      <c r="G194" s="1"/>
      <c r="H194" s="1"/>
      <c r="I194" s="1"/>
      <c r="J194" s="1"/>
      <c r="K194" s="1"/>
      <c r="L194" s="1"/>
      <c r="M194" s="7"/>
    </row>
    <row r="195" spans="1:13">
      <c r="D195" s="1"/>
    </row>
    <row r="196" spans="1:13">
      <c r="D196" s="1"/>
    </row>
    <row r="197" spans="1:13">
      <c r="D197" s="1"/>
    </row>
    <row r="198" spans="1:13">
      <c r="D198" s="1"/>
    </row>
    <row r="199" spans="1:13">
      <c r="D199" s="1"/>
    </row>
    <row r="200" spans="1:13">
      <c r="D200" s="1"/>
    </row>
    <row r="201" spans="1:13">
      <c r="D201" s="1"/>
    </row>
    <row r="202" spans="1:13">
      <c r="D202" s="1"/>
    </row>
    <row r="203" spans="1:13">
      <c r="D203" s="1"/>
    </row>
    <row r="204" spans="1:13">
      <c r="D204" s="1"/>
    </row>
    <row r="205" spans="1:13">
      <c r="D205" s="1"/>
    </row>
    <row r="206" spans="1:13">
      <c r="D206" s="1"/>
    </row>
    <row r="207" spans="1:13">
      <c r="D207" s="1"/>
    </row>
    <row r="208" spans="1:13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8" spans="4:4">
      <c r="D388" t="s">
        <v>191</v>
      </c>
    </row>
  </sheetData>
  <mergeCells count="24">
    <mergeCell ref="AA7:AB7"/>
    <mergeCell ref="F2:M2"/>
    <mergeCell ref="N4:O4"/>
    <mergeCell ref="P4:Q4"/>
    <mergeCell ref="R4:S4"/>
    <mergeCell ref="T4:U4"/>
    <mergeCell ref="V4:W4"/>
    <mergeCell ref="X4:Y4"/>
    <mergeCell ref="O7:P7"/>
    <mergeCell ref="R7:S7"/>
    <mergeCell ref="U7:V7"/>
    <mergeCell ref="X7:Y7"/>
    <mergeCell ref="O14:P14"/>
    <mergeCell ref="Q14:R14"/>
    <mergeCell ref="O15:P15"/>
    <mergeCell ref="Q15:R15"/>
    <mergeCell ref="O16:P16"/>
    <mergeCell ref="Q16:R16"/>
    <mergeCell ref="O17:P17"/>
    <mergeCell ref="Q17:R17"/>
    <mergeCell ref="O18:P18"/>
    <mergeCell ref="Q18:R18"/>
    <mergeCell ref="O19:P19"/>
    <mergeCell ref="Q19:R19"/>
  </mergeCells>
  <conditionalFormatting sqref="O7:P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{E26EA1E0-7435-49DD-B7FC-C827B648FDA5}</x14:id>
        </ext>
      </extLst>
    </cfRule>
  </conditionalFormatting>
  <conditionalFormatting sqref="R7:S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{FD7F6151-C192-4FD4-AE2E-3DEF73DBB220}</x14:id>
        </ext>
      </extLst>
    </cfRule>
  </conditionalFormatting>
  <conditionalFormatting sqref="U7:V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{D43070F6-DDD6-414B-A1AE-57588DD6F56F}</x14:id>
        </ext>
      </extLst>
    </cfRule>
  </conditionalFormatting>
  <conditionalFormatting sqref="X7:Y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{BCB02F28-916C-4947-A42B-91F6079D13EE}</x14:id>
        </ext>
      </extLst>
    </cfRule>
  </conditionalFormatting>
  <conditionalFormatting sqref="AA7:AB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{53D806AB-F13B-4C92-9195-C07AE7CAFCB8}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 macro="[0]!LISTE_COMPLETE_SEPTEMBRE">
                <anchor moveWithCells="1">
                  <from>
                    <xdr:col>13</xdr:col>
                    <xdr:colOff>152400</xdr:colOff>
                    <xdr:row>3</xdr:row>
                    <xdr:rowOff>114300</xdr:rowOff>
                  </from>
                  <to>
                    <xdr:col>14</xdr:col>
                    <xdr:colOff>962025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 macro="[0]!ABSENTS_PREMIER_DIMANCHE_SEPTEMBRE">
                <anchor moveWithCells="1">
                  <from>
                    <xdr:col>15</xdr:col>
                    <xdr:colOff>123825</xdr:colOff>
                    <xdr:row>3</xdr:row>
                    <xdr:rowOff>104775</xdr:rowOff>
                  </from>
                  <to>
                    <xdr:col>16</xdr:col>
                    <xdr:colOff>723900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 macro="[0]!ABSENTS_DEUXIEME_DIMANCHE_SEPTEMBRE">
                <anchor moveWithCells="1">
                  <from>
                    <xdr:col>17</xdr:col>
                    <xdr:colOff>85725</xdr:colOff>
                    <xdr:row>3</xdr:row>
                    <xdr:rowOff>133350</xdr:rowOff>
                  </from>
                  <to>
                    <xdr:col>18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 macro="[0]!ABSENTS_TROISIEME_DIMANCHE_SEPTEMBRE">
                <anchor moveWithCells="1">
                  <from>
                    <xdr:col>19</xdr:col>
                    <xdr:colOff>85725</xdr:colOff>
                    <xdr:row>3</xdr:row>
                    <xdr:rowOff>133350</xdr:rowOff>
                  </from>
                  <to>
                    <xdr:col>20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 macro="[0]!ABSENTS_QUATRIEME_DIMANCHE_SEPTEMBRE">
                <anchor moveWithCells="1">
                  <from>
                    <xdr:col>21</xdr:col>
                    <xdr:colOff>85725</xdr:colOff>
                    <xdr:row>3</xdr:row>
                    <xdr:rowOff>133350</xdr:rowOff>
                  </from>
                  <to>
                    <xdr:col>22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 macro="[0]!ABSENTS_CINQUIEME_DIMANCHE_AOUT">
                <anchor moveWithCells="1">
                  <from>
                    <xdr:col>23</xdr:col>
                    <xdr:colOff>85725</xdr:colOff>
                    <xdr:row>3</xdr:row>
                    <xdr:rowOff>133350</xdr:rowOff>
                  </from>
                  <to>
                    <xdr:col>24</xdr:col>
                    <xdr:colOff>428625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6EA1E0-7435-49DD-B7FC-C827B648F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O7:P10</xm:sqref>
        </x14:conditionalFormatting>
        <x14:conditionalFormatting xmlns:xm="http://schemas.microsoft.com/office/excel/2006/main">
          <x14:cfRule type="dataBar" id="{FD7F6151-C192-4FD4-AE2E-3DEF73DBB2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R7:S10</xm:sqref>
        </x14:conditionalFormatting>
        <x14:conditionalFormatting xmlns:xm="http://schemas.microsoft.com/office/excel/2006/main">
          <x14:cfRule type="dataBar" id="{D43070F6-DDD6-414B-A1AE-57588DD6F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U7:V10</xm:sqref>
        </x14:conditionalFormatting>
        <x14:conditionalFormatting xmlns:xm="http://schemas.microsoft.com/office/excel/2006/main">
          <x14:cfRule type="dataBar" id="{BCB02F28-916C-4947-A42B-91F6079D1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X7:Y10</xm:sqref>
        </x14:conditionalFormatting>
        <x14:conditionalFormatting xmlns:xm="http://schemas.microsoft.com/office/excel/2006/main">
          <x14:cfRule type="dataBar" id="{53D806AB-F13B-4C92-9195-C07AE7CAFC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AA7:AB10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LISTE DE L'EGLISE</vt:lpstr>
      <vt:lpstr>LISTE DE PRESENCE JUILLET</vt:lpstr>
      <vt:lpstr>LISTE DE PRESENCE AOUT</vt:lpstr>
      <vt:lpstr>LISTE DE PRESENCE SEPTEMBRE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Ermance Frankline Zoh Epse Pangni</dc:creator>
  <cp:lastModifiedBy>LENOVO</cp:lastModifiedBy>
  <dcterms:created xsi:type="dcterms:W3CDTF">2025-06-17T08:12:06Z</dcterms:created>
  <dcterms:modified xsi:type="dcterms:W3CDTF">2025-09-11T11:27:36Z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67509a-a2ad-4945-a7e3-cca7d9da6d9f_Enabled">
    <vt:lpwstr>true</vt:lpwstr>
  </property>
  <property fmtid="{D5CDD505-2E9C-101B-9397-08002B2CF9AE}" pid="3" name="MSIP_Label_4267509a-a2ad-4945-a7e3-cca7d9da6d9f_SetDate">
    <vt:lpwstr>2025-06-17T12:10:21Z</vt:lpwstr>
  </property>
  <property fmtid="{D5CDD505-2E9C-101B-9397-08002B2CF9AE}" pid="4" name="MSIP_Label_4267509a-a2ad-4945-a7e3-cca7d9da6d9f_Method">
    <vt:lpwstr>Standard</vt:lpwstr>
  </property>
  <property fmtid="{D5CDD505-2E9C-101B-9397-08002B2CF9AE}" pid="5" name="MSIP_Label_4267509a-a2ad-4945-a7e3-cca7d9da6d9f_Name">
    <vt:lpwstr>defa4170-0d19-0005-0004-bc88714345d2</vt:lpwstr>
  </property>
  <property fmtid="{D5CDD505-2E9C-101B-9397-08002B2CF9AE}" pid="6" name="MSIP_Label_4267509a-a2ad-4945-a7e3-cca7d9da6d9f_SiteId">
    <vt:lpwstr>2cf37b12-2d06-4704-b69b-98262b6540e8</vt:lpwstr>
  </property>
  <property fmtid="{D5CDD505-2E9C-101B-9397-08002B2CF9AE}" pid="7" name="MSIP_Label_4267509a-a2ad-4945-a7e3-cca7d9da6d9f_ActionId">
    <vt:lpwstr>ca5fc743-be9f-44e7-a7b8-b0c9ae640afb</vt:lpwstr>
  </property>
  <property fmtid="{D5CDD505-2E9C-101B-9397-08002B2CF9AE}" pid="8" name="MSIP_Label_4267509a-a2ad-4945-a7e3-cca7d9da6d9f_ContentBits">
    <vt:lpwstr>0</vt:lpwstr>
  </property>
  <property fmtid="{D5CDD505-2E9C-101B-9397-08002B2CF9AE}" pid="9" name="MSIP_Label_4267509a-a2ad-4945-a7e3-cca7d9da6d9f_Tag">
    <vt:lpwstr>10, 3, 0, 1</vt:lpwstr>
  </property>
</Properties>
</file>